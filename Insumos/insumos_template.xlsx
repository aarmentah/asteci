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MOS" sheetId="1" state="visible" r:id="rId3"/>
    <sheet name="ListaNegra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<sst xmlns="http://schemas.openxmlformats.org/spreadsheetml/2006/main" count="1014" uniqueCount="490">
  <si>
    <t xml:space="preserve">Convenio*</t>
  </si>
  <si>
    <t xml:space="preserve">Número empleado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</si>
  <si>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</si>
  <si>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</si>
  <si>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</si>
  <si>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</si>
  <si>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RFC</t>
  </si>
  <si>
    <t xml:space="preserve">CURP</t>
  </si>
  <si>
    <t xml:space="preserve">Correo Electronico</t>
  </si>
  <si>
    <t xml:space="preserve">Rango Salarial</t>
  </si>
  <si>
    <t xml:space="preserve">CURP_Registrada</t>
  </si>
  <si>
    <t xml:space="preserve">Estado_Validacion</t>
  </si>
  <si>
    <t xml:space="preserve">Numerico</t>
  </si>
  <si>
    <t xml:space="preserve">Alfanumerico</t>
  </si>
  <si>
    <t xml:space="preserve">Minimo 2 Maximo 40</t>
  </si>
  <si>
    <t xml:space="preserve">13 posiciones</t>
  </si>
  <si>
    <t xml:space="preserve">18 posiciones</t>
  </si>
  <si>
    <t xml:space="preserve">40 posiciones</t>
  </si>
  <si>
    <t xml:space="preserve">Si / No (validacion externa)</t>
  </si>
  <si>
    <t xml:space="preserve">Formula</t>
  </si>
  <si>
    <t xml:space="preserve">E001</t>
  </si>
  <si>
    <t xml:space="preserve">Contreras</t>
  </si>
  <si>
    <t xml:space="preserve">Ruiz</t>
  </si>
  <si>
    <t xml:space="preserve">Pedro</t>
  </si>
  <si>
    <t xml:space="preserve">PCYR22782471N</t>
  </si>
  <si>
    <t xml:space="preserve">WJMV578713HPUCKA9O</t>
  </si>
  <si>
    <t xml:space="preserve">pedro.contreras@empresa.com</t>
  </si>
  <si>
    <t xml:space="preserve">16000-20000</t>
  </si>
  <si>
    <t xml:space="preserve">Si</t>
  </si>
  <si>
    <t xml:space="preserve">E002</t>
  </si>
  <si>
    <t xml:space="preserve">Sanchez</t>
  </si>
  <si>
    <t xml:space="preserve">Rojas</t>
  </si>
  <si>
    <t xml:space="preserve">Roberto</t>
  </si>
  <si>
    <t xml:space="preserve">CBKC834738I4P</t>
  </si>
  <si>
    <t xml:space="preserve">ZNGD165667MDFVUUGD</t>
  </si>
  <si>
    <t xml:space="preserve">roberto.sanchez@empresa.com</t>
  </si>
  <si>
    <t xml:space="preserve">22000-28000</t>
  </si>
  <si>
    <t xml:space="preserve">E003</t>
  </si>
  <si>
    <t xml:space="preserve">Herrera</t>
  </si>
  <si>
    <t xml:space="preserve">Guzman</t>
  </si>
  <si>
    <t xml:space="preserve">Ana</t>
  </si>
  <si>
    <t xml:space="preserve">GROE62473129G</t>
  </si>
  <si>
    <t xml:space="preserve">URAC326773HVZBFMAY</t>
  </si>
  <si>
    <t xml:space="preserve">ana.herrera@empresa.com</t>
  </si>
  <si>
    <t xml:space="preserve">18000-22000</t>
  </si>
  <si>
    <t xml:space="preserve">E004</t>
  </si>
  <si>
    <t xml:space="preserve">Reyes</t>
  </si>
  <si>
    <t xml:space="preserve">Castillo</t>
  </si>
  <si>
    <t xml:space="preserve">Daniel</t>
  </si>
  <si>
    <t xml:space="preserve">Adriana</t>
  </si>
  <si>
    <t xml:space="preserve">RVWP2343098DU</t>
  </si>
  <si>
    <t xml:space="preserve">BSPQ820812HJCTCVPZ</t>
  </si>
  <si>
    <t xml:space="preserve">daniel.reyes@empresa.com</t>
  </si>
  <si>
    <t xml:space="preserve">12000-16000</t>
  </si>
  <si>
    <t xml:space="preserve">E005</t>
  </si>
  <si>
    <t xml:space="preserve">Hernandez</t>
  </si>
  <si>
    <t xml:space="preserve">Monica</t>
  </si>
  <si>
    <t xml:space="preserve">CNVS985435PQZ</t>
  </si>
  <si>
    <t xml:space="preserve">VUJO510799HJCCRG6Q</t>
  </si>
  <si>
    <t xml:space="preserve">monica.hernandez@empresa.com</t>
  </si>
  <si>
    <t xml:space="preserve">15000-20000</t>
  </si>
  <si>
    <t xml:space="preserve">E006</t>
  </si>
  <si>
    <t xml:space="preserve">Manuel</t>
  </si>
  <si>
    <t xml:space="preserve">JFOR498084GIQ</t>
  </si>
  <si>
    <t xml:space="preserve">DXRE449353HGTQPIDF</t>
  </si>
  <si>
    <t xml:space="preserve">manuel.contreras@empresa.com</t>
  </si>
  <si>
    <t xml:space="preserve">E007</t>
  </si>
  <si>
    <t xml:space="preserve">Gomez</t>
  </si>
  <si>
    <t xml:space="preserve">Perez</t>
  </si>
  <si>
    <t xml:space="preserve">Carlos</t>
  </si>
  <si>
    <t xml:space="preserve">IFXO868011J8C</t>
  </si>
  <si>
    <t xml:space="preserve">SREN204505MPUVHVGW</t>
  </si>
  <si>
    <t xml:space="preserve">carlos.gomez@empresa.com</t>
  </si>
  <si>
    <t xml:space="preserve">E008</t>
  </si>
  <si>
    <t xml:space="preserve">Nunez</t>
  </si>
  <si>
    <t xml:space="preserve">Ramirez</t>
  </si>
  <si>
    <t xml:space="preserve">Beatriz</t>
  </si>
  <si>
    <t xml:space="preserve">Alejandra</t>
  </si>
  <si>
    <t xml:space="preserve">MIOU525534EK8</t>
  </si>
  <si>
    <t xml:space="preserve">BPHG754330MPUMKIER</t>
  </si>
  <si>
    <t xml:space="preserve">beatriz.nunez@empresa.com</t>
  </si>
  <si>
    <t xml:space="preserve">20000-25000</t>
  </si>
  <si>
    <t xml:space="preserve">E009</t>
  </si>
  <si>
    <t xml:space="preserve">Ortiz</t>
  </si>
  <si>
    <t xml:space="preserve">Chavez</t>
  </si>
  <si>
    <t xml:space="preserve">Francisco</t>
  </si>
  <si>
    <t xml:space="preserve">Juan</t>
  </si>
  <si>
    <t xml:space="preserve">DIFS401965U16</t>
  </si>
  <si>
    <t xml:space="preserve">MSGI060883HMCNCVVU</t>
  </si>
  <si>
    <t xml:space="preserve">francisco.ortiz@empresa.com</t>
  </si>
  <si>
    <t xml:space="preserve">E010</t>
  </si>
  <si>
    <t xml:space="preserve">Aguilar</t>
  </si>
  <si>
    <t xml:space="preserve">Claudia</t>
  </si>
  <si>
    <t xml:space="preserve">Miguel</t>
  </si>
  <si>
    <t xml:space="preserve">WJRE366299TZ9</t>
  </si>
  <si>
    <t xml:space="preserve">JJGN995777HPUQPZKF</t>
  </si>
  <si>
    <t xml:space="preserve">claudia.aguilar@empresa.com</t>
  </si>
  <si>
    <t xml:space="preserve">E011</t>
  </si>
  <si>
    <t xml:space="preserve">Gutierrez</t>
  </si>
  <si>
    <t xml:space="preserve">YHVJ3320034E3</t>
  </si>
  <si>
    <t xml:space="preserve">USGW676320MJCYNHL7</t>
  </si>
  <si>
    <t xml:space="preserve">monica.chavez@empresa.com</t>
  </si>
  <si>
    <t xml:space="preserve">25000-30000</t>
  </si>
  <si>
    <t xml:space="preserve">E012</t>
  </si>
  <si>
    <t xml:space="preserve">Cruz</t>
  </si>
  <si>
    <t xml:space="preserve">Ricardo</t>
  </si>
  <si>
    <t xml:space="preserve">EZOV889579619</t>
  </si>
  <si>
    <t xml:space="preserve">FXPO434873MGTOCWSP</t>
  </si>
  <si>
    <t xml:space="preserve">beatriz.cruz@empresa.com</t>
  </si>
  <si>
    <t xml:space="preserve">E013</t>
  </si>
  <si>
    <t xml:space="preserve">Jimenez</t>
  </si>
  <si>
    <t xml:space="preserve">Gabriela</t>
  </si>
  <si>
    <t xml:space="preserve">EHMW231665830</t>
  </si>
  <si>
    <t xml:space="preserve">GNMY909670HMCJYM08</t>
  </si>
  <si>
    <t xml:space="preserve">gabriela.jimenez@empresa.com</t>
  </si>
  <si>
    <t xml:space="preserve">E014</t>
  </si>
  <si>
    <t xml:space="preserve">Flores</t>
  </si>
  <si>
    <t xml:space="preserve">Patricia</t>
  </si>
  <si>
    <t xml:space="preserve">KVVZ627298BZB</t>
  </si>
  <si>
    <t xml:space="preserve">UNEO204653HBCKKYYR</t>
  </si>
  <si>
    <t xml:space="preserve">patricia.hernandez@empresa.com</t>
  </si>
  <si>
    <t xml:space="preserve">E015</t>
  </si>
  <si>
    <t xml:space="preserve">Medina</t>
  </si>
  <si>
    <t xml:space="preserve">Sofia</t>
  </si>
  <si>
    <t xml:space="preserve">RBLH100330JPI</t>
  </si>
  <si>
    <t xml:space="preserve">VDSG745299MJCYFJGB</t>
  </si>
  <si>
    <t xml:space="preserve">sofia.medina@empresa.com</t>
  </si>
  <si>
    <t xml:space="preserve">E016</t>
  </si>
  <si>
    <t xml:space="preserve">Vega</t>
  </si>
  <si>
    <t xml:space="preserve">GCSW314919CW8</t>
  </si>
  <si>
    <t xml:space="preserve">VLCQ506716MMCUOWJ1</t>
  </si>
  <si>
    <t xml:space="preserve">miguel.chavez@empresa.com</t>
  </si>
  <si>
    <t xml:space="preserve">E017</t>
  </si>
  <si>
    <t xml:space="preserve">YPON9453142P3</t>
  </si>
  <si>
    <t xml:space="preserve">KAPK273545MGTTWI9A</t>
  </si>
  <si>
    <t xml:space="preserve">monica.gutierrez@empresa.com</t>
  </si>
  <si>
    <t xml:space="preserve">No</t>
  </si>
  <si>
    <t xml:space="preserve">E018</t>
  </si>
  <si>
    <t xml:space="preserve">Sergio</t>
  </si>
  <si>
    <t xml:space="preserve">HWPU770143ZPT</t>
  </si>
  <si>
    <t xml:space="preserve">PRQL685574MGTIHDMU</t>
  </si>
  <si>
    <t xml:space="preserve">E019</t>
  </si>
  <si>
    <t xml:space="preserve">Delgado</t>
  </si>
  <si>
    <t xml:space="preserve">Laura</t>
  </si>
  <si>
    <t xml:space="preserve">XPIX989413SOX</t>
  </si>
  <si>
    <t xml:space="preserve">JAWR240084HNLUYPGA</t>
  </si>
  <si>
    <t xml:space="preserve">laura.delgado@empresa.com</t>
  </si>
  <si>
    <t xml:space="preserve">E020</t>
  </si>
  <si>
    <t xml:space="preserve">Mendoza</t>
  </si>
  <si>
    <t xml:space="preserve">Vargas</t>
  </si>
  <si>
    <t xml:space="preserve">BIPD167190JJT</t>
  </si>
  <si>
    <t xml:space="preserve">HDRY699938HVZOOJ1T</t>
  </si>
  <si>
    <t xml:space="preserve">carlos.mendoza@empresa.com</t>
  </si>
  <si>
    <t xml:space="preserve">8000-12000</t>
  </si>
  <si>
    <t xml:space="preserve">E021</t>
  </si>
  <si>
    <t xml:space="preserve">E022</t>
  </si>
  <si>
    <t xml:space="preserve">Martinez</t>
  </si>
  <si>
    <t xml:space="preserve">Veronica</t>
  </si>
  <si>
    <t xml:space="preserve">QUOI2967</t>
  </si>
  <si>
    <t xml:space="preserve">NXKT401399HDFYVICL</t>
  </si>
  <si>
    <t xml:space="preserve">adriana.gomez@empresa.com</t>
  </si>
  <si>
    <t xml:space="preserve">E023</t>
  </si>
  <si>
    <t xml:space="preserve">Morales</t>
  </si>
  <si>
    <t xml:space="preserve">DFKN746807FUQ</t>
  </si>
  <si>
    <t xml:space="preserve">DYMQ087603MSOLTY52</t>
  </si>
  <si>
    <t xml:space="preserve">patricia.mendoza@empresa.com</t>
  </si>
  <si>
    <t xml:space="preserve">E024</t>
  </si>
  <si>
    <t xml:space="preserve">Jose</t>
  </si>
  <si>
    <t xml:space="preserve">WPDA93248090F</t>
  </si>
  <si>
    <t xml:space="preserve">DODU274846HBCPHO9J</t>
  </si>
  <si>
    <t xml:space="preserve">jose.flores@empresa.com</t>
  </si>
  <si>
    <t xml:space="preserve">E025</t>
  </si>
  <si>
    <t xml:space="preserve">Diaz</t>
  </si>
  <si>
    <t xml:space="preserve">Fernando</t>
  </si>
  <si>
    <t xml:space="preserve">CIYZ658404T5J</t>
  </si>
  <si>
    <t xml:space="preserve">RPLK886753MPUSMH0C</t>
  </si>
  <si>
    <t xml:space="preserve">fernando.vega@empresa.com</t>
  </si>
  <si>
    <t xml:space="preserve">E026</t>
  </si>
  <si>
    <t xml:space="preserve">ZUEP0289512G7</t>
  </si>
  <si>
    <t xml:space="preserve">AXEN217459MVZUCK8Y</t>
  </si>
  <si>
    <t xml:space="preserve">adriana.rojas@empresa.com</t>
  </si>
  <si>
    <t xml:space="preserve">E027</t>
  </si>
  <si>
    <t xml:space="preserve">E028</t>
  </si>
  <si>
    <t xml:space="preserve">Carmen</t>
  </si>
  <si>
    <t xml:space="preserve">Alejandro</t>
  </si>
  <si>
    <t xml:space="preserve">EHOU4740748KE</t>
  </si>
  <si>
    <t xml:space="preserve">LSJU647436MBCDHMWS</t>
  </si>
  <si>
    <t xml:space="preserve">carmen.diaz@empresa.com</t>
  </si>
  <si>
    <t xml:space="preserve">E029</t>
  </si>
  <si>
    <t xml:space="preserve">SVYX097439WOM</t>
  </si>
  <si>
    <t xml:space="preserve">VYXY210470MCHLXEFS</t>
  </si>
  <si>
    <t xml:space="preserve">miguel.medina@empresa.com</t>
  </si>
  <si>
    <t xml:space="preserve">E030</t>
  </si>
  <si>
    <t xml:space="preserve">Rosales</t>
  </si>
  <si>
    <t xml:space="preserve">LQQI2474513EJ</t>
  </si>
  <si>
    <t xml:space="preserve">VXVM851604HSODOLQY</t>
  </si>
  <si>
    <t xml:space="preserve">jose.martinez@empresa.com</t>
  </si>
  <si>
    <t xml:space="preserve">E031</t>
  </si>
  <si>
    <t xml:space="preserve">RKTH174612CCT</t>
  </si>
  <si>
    <t xml:space="preserve">DDHR267586MCHXXE0G</t>
  </si>
  <si>
    <t xml:space="preserve">sofia.chavez@empresa.com</t>
  </si>
  <si>
    <t xml:space="preserve">E032</t>
  </si>
  <si>
    <t xml:space="preserve">Maria</t>
  </si>
  <si>
    <t xml:space="preserve">Jorge</t>
  </si>
  <si>
    <t xml:space="preserve">OOHL158506RMH</t>
  </si>
  <si>
    <t xml:space="preserve">CVGU900532MCHGCY9N</t>
  </si>
  <si>
    <t xml:space="preserve">maria.castillo@empresa.com</t>
  </si>
  <si>
    <t xml:space="preserve">E033</t>
  </si>
  <si>
    <t xml:space="preserve">AIEE842102AWP</t>
  </si>
  <si>
    <t xml:space="preserve">AFIB268117MBCYLQG2</t>
  </si>
  <si>
    <t xml:space="preserve">jose.jimenez@empresa.com</t>
  </si>
  <si>
    <t xml:space="preserve">E034</t>
  </si>
  <si>
    <t xml:space="preserve">QJOU00766152E</t>
  </si>
  <si>
    <t xml:space="preserve">KTEC249985HVZTQJ36</t>
  </si>
  <si>
    <t xml:space="preserve">E035</t>
  </si>
  <si>
    <t xml:space="preserve">SRRK1656</t>
  </si>
  <si>
    <t xml:space="preserve">NKVI527111MJCNDXXI</t>
  </si>
  <si>
    <t xml:space="preserve">E036</t>
  </si>
  <si>
    <t xml:space="preserve">Rosa</t>
  </si>
  <si>
    <t xml:space="preserve">QGEV731585HRO</t>
  </si>
  <si>
    <t xml:space="preserve">RYTT809402MGTWYJVW</t>
  </si>
  <si>
    <t xml:space="preserve">rosa.reyes@empresa.com</t>
  </si>
  <si>
    <t xml:space="preserve">E037</t>
  </si>
  <si>
    <t xml:space="preserve">EXUA183667VKX</t>
  </si>
  <si>
    <t xml:space="preserve">XKYS910229MDFVCI21</t>
  </si>
  <si>
    <t xml:space="preserve">alejandro.guzman@empresa.com</t>
  </si>
  <si>
    <t xml:space="preserve">E038</t>
  </si>
  <si>
    <t xml:space="preserve">Luis</t>
  </si>
  <si>
    <t xml:space="preserve">QDLN149784COZ</t>
  </si>
  <si>
    <t xml:space="preserve">QRVZ5160</t>
  </si>
  <si>
    <t xml:space="preserve">luis.vargas@empresa.com</t>
  </si>
  <si>
    <t xml:space="preserve">E039</t>
  </si>
  <si>
    <t xml:space="preserve">KSNS664160UK3</t>
  </si>
  <si>
    <t xml:space="preserve">CNDH696816MGTXKHVK</t>
  </si>
  <si>
    <t xml:space="preserve">beatriz.perezempresa.com</t>
  </si>
  <si>
    <t xml:space="preserve">E040</t>
  </si>
  <si>
    <t xml:space="preserve">Torres</t>
  </si>
  <si>
    <t xml:space="preserve">YLLX231243LJE</t>
  </si>
  <si>
    <t xml:space="preserve">YUPO997995HMCEOC42</t>
  </si>
  <si>
    <t xml:space="preserve">fernando.gutierrez@empresa.com</t>
  </si>
  <si>
    <t xml:space="preserve">E041</t>
  </si>
  <si>
    <t xml:space="preserve">Elena</t>
  </si>
  <si>
    <t xml:space="preserve">OOBB5411996Y3</t>
  </si>
  <si>
    <t xml:space="preserve">OZSU359782HDFODZVF</t>
  </si>
  <si>
    <t xml:space="preserve">elena.ruiz@empresa.com</t>
  </si>
  <si>
    <t xml:space="preserve">E042</t>
  </si>
  <si>
    <t xml:space="preserve">QTFL546659DVE</t>
  </si>
  <si>
    <t xml:space="preserve">DRVM449251MCHVELTZ</t>
  </si>
  <si>
    <t xml:space="preserve">ricardo.hernandez@empresa.com</t>
  </si>
  <si>
    <t xml:space="preserve">E043</t>
  </si>
  <si>
    <t xml:space="preserve">ZKEV816850XTL</t>
  </si>
  <si>
    <t xml:space="preserve">KYPG322141HSOYRX7C</t>
  </si>
  <si>
    <t xml:space="preserve">rosa.rojas@empresa.com</t>
  </si>
  <si>
    <t xml:space="preserve">E044</t>
  </si>
  <si>
    <t xml:space="preserve">FWYT2706532S2</t>
  </si>
  <si>
    <t xml:space="preserve">RHJZ735977HGTYMQ70</t>
  </si>
  <si>
    <t xml:space="preserve">miguel.ramirez@empresa.com</t>
  </si>
  <si>
    <t xml:space="preserve">E045</t>
  </si>
  <si>
    <t xml:space="preserve">UPLR181412R26</t>
  </si>
  <si>
    <t xml:space="preserve">NCHO506068HMCHMCXO</t>
  </si>
  <si>
    <t xml:space="preserve">jose.herrera@empresa.com</t>
  </si>
  <si>
    <t xml:space="preserve">E046</t>
  </si>
  <si>
    <t xml:space="preserve">EBJP277901BQN</t>
  </si>
  <si>
    <t xml:space="preserve">RXTQ614341HDFHNU3E</t>
  </si>
  <si>
    <t xml:space="preserve">roberto.medina@empresa.com</t>
  </si>
  <si>
    <t xml:space="preserve">E047</t>
  </si>
  <si>
    <t xml:space="preserve">HWEJ6095390LF</t>
  </si>
  <si>
    <t xml:space="preserve">CQRQ880670MVZLIXBW</t>
  </si>
  <si>
    <t xml:space="preserve">juan.diaz@empresa.com</t>
  </si>
  <si>
    <t xml:space="preserve">E048</t>
  </si>
  <si>
    <t xml:space="preserve">SXYK20585234L</t>
  </si>
  <si>
    <t xml:space="preserve">CWYO043030HMCJQM84</t>
  </si>
  <si>
    <t xml:space="preserve">claudia.hernandez@empresa.com</t>
  </si>
  <si>
    <t xml:space="preserve">E049</t>
  </si>
  <si>
    <t xml:space="preserve">YBUK415667YVL</t>
  </si>
  <si>
    <t xml:space="preserve">WPLZ841616MCHFRJUG</t>
  </si>
  <si>
    <t xml:space="preserve">jorge.delgado@empresa.com</t>
  </si>
  <si>
    <t xml:space="preserve">E050</t>
  </si>
  <si>
    <t xml:space="preserve">WOLO059640EZX</t>
  </si>
  <si>
    <t xml:space="preserve">AETV702135HMCMSBJ2</t>
  </si>
  <si>
    <t xml:space="preserve">monica.reyes@empresa.com</t>
  </si>
  <si>
    <t xml:space="preserve">E051</t>
  </si>
  <si>
    <t xml:space="preserve">LMKU4310277Y9</t>
  </si>
  <si>
    <t xml:space="preserve">ZVKV5188</t>
  </si>
  <si>
    <t xml:space="preserve">pedro.vargas@empresa.com</t>
  </si>
  <si>
    <t xml:space="preserve">E052</t>
  </si>
  <si>
    <t xml:space="preserve">WWUF583132P5B</t>
  </si>
  <si>
    <t xml:space="preserve">RSLO829114MVZWXP70</t>
  </si>
  <si>
    <t xml:space="preserve">alejandra.contreras@empresa.com</t>
  </si>
  <si>
    <t xml:space="preserve">E053</t>
  </si>
  <si>
    <t xml:space="preserve">OVQL2892266DH</t>
  </si>
  <si>
    <t xml:space="preserve">QUFS9229</t>
  </si>
  <si>
    <t xml:space="preserve">carlos.sanchez@empresa.com</t>
  </si>
  <si>
    <t xml:space="preserve">E054</t>
  </si>
  <si>
    <t xml:space="preserve">ACBU943969B58</t>
  </si>
  <si>
    <t xml:space="preserve">UJPH647102MBCNPONV</t>
  </si>
  <si>
    <t xml:space="preserve">beatriz.jimenez@empresa.com</t>
  </si>
  <si>
    <t xml:space="preserve">E055</t>
  </si>
  <si>
    <t xml:space="preserve">LMEY5881533HR</t>
  </si>
  <si>
    <t xml:space="preserve">QOPJ7016</t>
  </si>
  <si>
    <t xml:space="preserve">carlos.guzman@empresa.com</t>
  </si>
  <si>
    <t xml:space="preserve">E056</t>
  </si>
  <si>
    <t xml:space="preserve">BJPT748016IQX</t>
  </si>
  <si>
    <t xml:space="preserve">LBMB983584MJCMQO9R</t>
  </si>
  <si>
    <t xml:space="preserve">jorge.vargas@empresa.com</t>
  </si>
  <si>
    <t xml:space="preserve">E057</t>
  </si>
  <si>
    <t xml:space="preserve">RLYE398680CCI</t>
  </si>
  <si>
    <t xml:space="preserve">ZPQO298259MMCFMTTV</t>
  </si>
  <si>
    <t xml:space="preserve">elena.torres@empresa.com</t>
  </si>
  <si>
    <t xml:space="preserve">E058</t>
  </si>
  <si>
    <t xml:space="preserve">NSJZ097499OD4</t>
  </si>
  <si>
    <t xml:space="preserve">QUXT623091HPUAOK0J</t>
  </si>
  <si>
    <t xml:space="preserve">elena.medina@empresa.com</t>
  </si>
  <si>
    <t xml:space="preserve">E059</t>
  </si>
  <si>
    <t xml:space="preserve">XXBW2838577YU</t>
  </si>
  <si>
    <t xml:space="preserve">ORKR549733HGTRJHTS</t>
  </si>
  <si>
    <t xml:space="preserve">sergio.castillo@empresa.com</t>
  </si>
  <si>
    <t xml:space="preserve">E060</t>
  </si>
  <si>
    <t xml:space="preserve">ZXIJ198665JSC</t>
  </si>
  <si>
    <t xml:space="preserve">WCLO473384MSOWIEGP</t>
  </si>
  <si>
    <t xml:space="preserve">elena.jimenez@empresa.com</t>
  </si>
  <si>
    <t xml:space="preserve">E061</t>
  </si>
  <si>
    <t xml:space="preserve">HBDN571208K04</t>
  </si>
  <si>
    <t xml:space="preserve">UGYJ540193MSOXXBL0</t>
  </si>
  <si>
    <t xml:space="preserve">fernando.chavez@empresa.com</t>
  </si>
  <si>
    <t xml:space="preserve">E062</t>
  </si>
  <si>
    <t xml:space="preserve">TUMN8516</t>
  </si>
  <si>
    <t xml:space="preserve">EQOI315274MNLAXKSM</t>
  </si>
  <si>
    <t xml:space="preserve">adriana.medina@empresa.com</t>
  </si>
  <si>
    <t xml:space="preserve">E063</t>
  </si>
  <si>
    <t xml:space="preserve">AIMH745499AQX</t>
  </si>
  <si>
    <t xml:space="preserve">BVDO426841HGTLTHOI</t>
  </si>
  <si>
    <t xml:space="preserve">sofia.martinez@empresa.com</t>
  </si>
  <si>
    <t xml:space="preserve">E064</t>
  </si>
  <si>
    <t xml:space="preserve">UDAX433218F1C</t>
  </si>
  <si>
    <t xml:space="preserve">BRQG982258HBCDVG5F</t>
  </si>
  <si>
    <t xml:space="preserve">monica.vargas@empresa.com</t>
  </si>
  <si>
    <t xml:space="preserve">E065</t>
  </si>
  <si>
    <t xml:space="preserve">MDLL940781YF9</t>
  </si>
  <si>
    <t xml:space="preserve">WCRB170462MNLYUX0X</t>
  </si>
  <si>
    <t xml:space="preserve">patricia.ramirez@empresa.com</t>
  </si>
  <si>
    <t xml:space="preserve">E066</t>
  </si>
  <si>
    <t xml:space="preserve">REUL128682OAB</t>
  </si>
  <si>
    <t xml:space="preserve">OVXR686337MMCEIGHC</t>
  </si>
  <si>
    <t xml:space="preserve">claudia.ortiz@empresa.com</t>
  </si>
  <si>
    <t xml:space="preserve">E067</t>
  </si>
  <si>
    <t xml:space="preserve">GCDT079030Z2O</t>
  </si>
  <si>
    <t xml:space="preserve">YYBE843959HCHYVKPT</t>
  </si>
  <si>
    <t xml:space="preserve">manuel.delgadoempresa.com</t>
  </si>
  <si>
    <t xml:space="preserve">E068</t>
  </si>
  <si>
    <t xml:space="preserve">RSXF6870567U0</t>
  </si>
  <si>
    <t xml:space="preserve">EJMF873342MBCBRN09</t>
  </si>
  <si>
    <t xml:space="preserve">rosa.hernandez@empresa.com</t>
  </si>
  <si>
    <t xml:space="preserve">E069</t>
  </si>
  <si>
    <t xml:space="preserve">OLCR304699CEM</t>
  </si>
  <si>
    <t xml:space="preserve">YJMO8544</t>
  </si>
  <si>
    <t xml:space="preserve">jorge.hernandez@empresa.com</t>
  </si>
  <si>
    <t xml:space="preserve">E070</t>
  </si>
  <si>
    <t xml:space="preserve">XPYK355609OJB</t>
  </si>
  <si>
    <t xml:space="preserve">RSSX642353MVZSHP9V</t>
  </si>
  <si>
    <t xml:space="preserve">sofia.aguilar@empresa.com</t>
  </si>
  <si>
    <t xml:space="preserve">E071</t>
  </si>
  <si>
    <t xml:space="preserve">E072</t>
  </si>
  <si>
    <t xml:space="preserve">XIRJ0862117JP</t>
  </si>
  <si>
    <t xml:space="preserve">TQIL461567HCHHWHTF</t>
  </si>
  <si>
    <t xml:space="preserve">juan.cruz@empresa.com</t>
  </si>
  <si>
    <t xml:space="preserve">E073</t>
  </si>
  <si>
    <t xml:space="preserve">UAWF1765917CO</t>
  </si>
  <si>
    <t xml:space="preserve">WSPI014890HNLKAGJZ</t>
  </si>
  <si>
    <t xml:space="preserve">miguel.ortiz@empresa.com</t>
  </si>
  <si>
    <t xml:space="preserve">E074</t>
  </si>
  <si>
    <t xml:space="preserve">MVRK621850G1O</t>
  </si>
  <si>
    <t xml:space="preserve">KTYT965047HBCHLRY1</t>
  </si>
  <si>
    <t xml:space="preserve">carmen.martinez@empresa.com</t>
  </si>
  <si>
    <t xml:space="preserve">E075</t>
  </si>
  <si>
    <t xml:space="preserve">ZHWC142626UXG</t>
  </si>
  <si>
    <t xml:space="preserve">AJOL412126HBCRRQ0G</t>
  </si>
  <si>
    <t xml:space="preserve">pedro.chavez@empresa.com</t>
  </si>
  <si>
    <t xml:space="preserve">E076</t>
  </si>
  <si>
    <t xml:space="preserve">KMAJ6618397KY</t>
  </si>
  <si>
    <t xml:space="preserve">EIJI721264HVZJPZEX</t>
  </si>
  <si>
    <t xml:space="preserve">pedro.morales@empresa.com</t>
  </si>
  <si>
    <t xml:space="preserve">E077</t>
  </si>
  <si>
    <t xml:space="preserve">ODEJ0659652V1</t>
  </si>
  <si>
    <t xml:space="preserve">JKTW375265HGTXWU5P</t>
  </si>
  <si>
    <t xml:space="preserve">sofia.nunez@empresa.com</t>
  </si>
  <si>
    <t xml:space="preserve">E078</t>
  </si>
  <si>
    <t xml:space="preserve">SGSR280737SE0</t>
  </si>
  <si>
    <t xml:space="preserve">EUJH426617MCHPSM86</t>
  </si>
  <si>
    <t xml:space="preserve">adriana.floresempresa.com</t>
  </si>
  <si>
    <t xml:space="preserve">E079</t>
  </si>
  <si>
    <t xml:space="preserve">RTUC135290ZV1</t>
  </si>
  <si>
    <t xml:space="preserve">ADIH888993HBCLMO6J</t>
  </si>
  <si>
    <t xml:space="preserve">elena.gomezempresa.com</t>
  </si>
  <si>
    <t xml:space="preserve">E080</t>
  </si>
  <si>
    <t xml:space="preserve">RFKR6736</t>
  </si>
  <si>
    <t xml:space="preserve">XWOK140105MJCVZFP7</t>
  </si>
  <si>
    <t xml:space="preserve">rosa.mendoza@empresa.com</t>
  </si>
  <si>
    <t xml:space="preserve">E081</t>
  </si>
  <si>
    <t xml:space="preserve">XTGO966033REG</t>
  </si>
  <si>
    <t xml:space="preserve">LKGO147859HVZTMSHW</t>
  </si>
  <si>
    <t xml:space="preserve">claudia.martinez@empresa.com</t>
  </si>
  <si>
    <t xml:space="preserve">E082</t>
  </si>
  <si>
    <t xml:space="preserve">JTSC251341LXJ</t>
  </si>
  <si>
    <t xml:space="preserve">NTES662782MSOFPJIL</t>
  </si>
  <si>
    <t xml:space="preserve">francisco.diaz@empresa.com</t>
  </si>
  <si>
    <t xml:space="preserve">E083</t>
  </si>
  <si>
    <t xml:space="preserve">PEGM88767625K</t>
  </si>
  <si>
    <t xml:space="preserve">SAZY340438HGTFYO59</t>
  </si>
  <si>
    <t xml:space="preserve">alejandra.diaz@empresa.com</t>
  </si>
  <si>
    <t xml:space="preserve">E084</t>
  </si>
  <si>
    <t xml:space="preserve">RYBY783613TC2</t>
  </si>
  <si>
    <t xml:space="preserve">LCOD339596MNLTEZNN</t>
  </si>
  <si>
    <t xml:space="preserve">sergio.torres@empresa.com</t>
  </si>
  <si>
    <t xml:space="preserve">E085</t>
  </si>
  <si>
    <t xml:space="preserve">KWJJ948126DRI</t>
  </si>
  <si>
    <t xml:space="preserve">HEWK367294HVZMOCFZ</t>
  </si>
  <si>
    <t xml:space="preserve">luis.morales@empresa.com</t>
  </si>
  <si>
    <t xml:space="preserve">E086</t>
  </si>
  <si>
    <t xml:space="preserve">YXCX7518631N5</t>
  </si>
  <si>
    <t xml:space="preserve">KJKR929750MDFDUZ3B</t>
  </si>
  <si>
    <t xml:space="preserve">carlos.vargas@empresa.com</t>
  </si>
  <si>
    <t xml:space="preserve">E087</t>
  </si>
  <si>
    <t xml:space="preserve">GWEU424154FXK</t>
  </si>
  <si>
    <t xml:space="preserve">MUJX361103HBCCESO7</t>
  </si>
  <si>
    <t xml:space="preserve">juan.vargas@empresa.com</t>
  </si>
  <si>
    <t xml:space="preserve">E088</t>
  </si>
  <si>
    <t xml:space="preserve">NWEP136111UXT</t>
  </si>
  <si>
    <t xml:space="preserve">MYYE218909HNLOLXNJ</t>
  </si>
  <si>
    <t xml:space="preserve">carlos.perez@empresa.com</t>
  </si>
  <si>
    <t xml:space="preserve">E089</t>
  </si>
  <si>
    <t xml:space="preserve">DEYD965652PRF</t>
  </si>
  <si>
    <t xml:space="preserve">RTTX940438HCHQGXZS</t>
  </si>
  <si>
    <t xml:space="preserve">alejandra.chavez@empresa.com</t>
  </si>
  <si>
    <t xml:space="preserve">E090</t>
  </si>
  <si>
    <t xml:space="preserve">UTCQ0552690X8</t>
  </si>
  <si>
    <t xml:space="preserve">YPYC091043HDFBZM6S</t>
  </si>
  <si>
    <t xml:space="preserve">ana.mendoza@empresa.com</t>
  </si>
  <si>
    <t xml:space="preserve">E091</t>
  </si>
  <si>
    <t xml:space="preserve">ICJC832856ET1</t>
  </si>
  <si>
    <t xml:space="preserve">BHCN179904HNLDAWIA</t>
  </si>
  <si>
    <t xml:space="preserve">gabriela.sanchez@empresa.com</t>
  </si>
  <si>
    <t xml:space="preserve">E092</t>
  </si>
  <si>
    <t xml:space="preserve">BAHB7562</t>
  </si>
  <si>
    <t xml:space="preserve">POQL079252HGTYDSHO</t>
  </si>
  <si>
    <t xml:space="preserve">fernando.morales@empresa.com</t>
  </si>
  <si>
    <t xml:space="preserve">E093</t>
  </si>
  <si>
    <t xml:space="preserve">WXUN353654EXH</t>
  </si>
  <si>
    <t xml:space="preserve">FHZQ061744HMCCROAX</t>
  </si>
  <si>
    <t xml:space="preserve">maria.vega@empresa.com</t>
  </si>
  <si>
    <t xml:space="preserve">E094</t>
  </si>
  <si>
    <t xml:space="preserve">LSPY383206BO8</t>
  </si>
  <si>
    <t xml:space="preserve">UWAK064138MPUNPBJR</t>
  </si>
  <si>
    <t xml:space="preserve">veronica.herreraempresa.com</t>
  </si>
  <si>
    <t xml:space="preserve">E095</t>
  </si>
  <si>
    <t xml:space="preserve">WLOX191826ED1</t>
  </si>
  <si>
    <t xml:space="preserve">HJIK655743HJCGEYGJ</t>
  </si>
  <si>
    <t xml:space="preserve">manuel.vega@empresa.com</t>
  </si>
  <si>
    <t xml:space="preserve">E096</t>
  </si>
  <si>
    <t xml:space="preserve">LYGO474112TCN</t>
  </si>
  <si>
    <t xml:space="preserve">ECWH568044MNLAMO99</t>
  </si>
  <si>
    <t xml:space="preserve">E097</t>
  </si>
  <si>
    <t xml:space="preserve">ABYH236519QEB</t>
  </si>
  <si>
    <t xml:space="preserve">GUOZ215107HDFFSNZ5</t>
  </si>
  <si>
    <t xml:space="preserve">adriana.vargas@empresa.com</t>
  </si>
  <si>
    <t xml:space="preserve">E098</t>
  </si>
  <si>
    <t xml:space="preserve">FIIO209993S50</t>
  </si>
  <si>
    <t xml:space="preserve">BCIM263838MDFMZWW4</t>
  </si>
  <si>
    <t xml:space="preserve">laura.chavez@empresa.com</t>
  </si>
  <si>
    <t xml:space="preserve">E099</t>
  </si>
  <si>
    <t xml:space="preserve">FAKT304078WOK</t>
  </si>
  <si>
    <t xml:space="preserve">HVHI803965HNLFHSUW</t>
  </si>
  <si>
    <t xml:space="preserve">E100</t>
  </si>
  <si>
    <t xml:space="preserve">AKTG252500MNLSWEH7</t>
  </si>
  <si>
    <t xml:space="preserve">jose.ruiz@empresa.com</t>
  </si>
  <si>
    <t xml:space="preserve">Casos de validacion contemplados</t>
  </si>
  <si>
    <t xml:space="preserve">Conteo en datos</t>
  </si>
  <si>
    <t xml:space="preserve">rfc formato invalido</t>
  </si>
  <si>
    <t xml:space="preserve">curp formato invalido</t>
  </si>
  <si>
    <t xml:space="preserve">correo invalido</t>
  </si>
  <si>
    <t xml:space="preserve">un campo obligatorio vacio</t>
  </si>
  <si>
    <t xml:space="preserve">uno en lista negra</t>
  </si>
  <si>
    <t xml:space="preserve">curp no existe</t>
  </si>
  <si>
    <t xml:space="preserve">empleado repetido</t>
  </si>
  <si>
    <t xml:space="preserve">Registros OK</t>
  </si>
  <si>
    <t xml:space="preserve">Total registros</t>
  </si>
  <si>
    <t xml:space="preserve">RFC_Lista_Negra</t>
  </si>
  <si>
    <t xml:space="preserve">ACGH8908380O2</t>
  </si>
  <si>
    <t xml:space="preserve">SIZA265423VGF</t>
  </si>
  <si>
    <t xml:space="preserve">JUTL931034FOG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</si>
</sst>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i val="true"/>
      <sz val="9"/>
      <name val="Aptos Narrow"/>
      <family val="0"/>
      <charset val="1"/>
    </font>
    <font>
      <sz val="10"/>
      <name val="Aptos Narrow"/>
      <family val="0"/>
      <charset val="1"/>
    </font>
    <font>
      <b val="true"/>
      <sz val="1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0"/>
    <col collapsed="false" customWidth="true" hidden="false" outlineLevel="0" max="11" min="10" style="0" width="16"/>
    <col collapsed="false" customWidth="true" hidden="false" outlineLevel="0" max="12" min="12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7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17</v>
      </c>
      <c r="K2" s="2" t="s">
        <v>18</v>
      </c>
      <c r="L2" s="2" t="s">
        <v>19</v>
      </c>
    </row>
    <row r="3" customFormat="false" ht="15" hidden="false" customHeight="false" outlineLevel="0" collapsed="false">
      <c r="A3" s="3" t="n">
        <v>2110</v>
      </c>
      <c r="B3" s="3" t="s">
        <v>20</v>
      </c>
      <c r="C3" s="3" t="s">
        <v>21</v>
      </c>
      <c r="D3" s="3" t="s">
        <v>22</v>
      </c>
      <c r="E3" s="3" t="s">
        <v>23</v>
      </c>
      <c r="F3" s="3"/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4" t="str">
        <f aca="false">IF(LEN(G3)&lt;&gt;13,"RFC formato invalido",IF(LEN(H3)&lt;&gt;18,"CURP formato invalido",IF(ISERROR(SEARCH("@",I3)),"Correo invalido",IF(OR(A3="",B3="",C3="",E3="",G3="",H3="",I3=""),"Campo obligatorio vacio",IF(COUNTIF(ListaNegra!$A:$A,G3)&gt;0,"Uno en lista negra",IF(K3="No","CURP no existe",IF(COUNTIF($G$3:$G$102,G3)&gt;1,"Empleado repetido","OK")))))))</f>
        <v>Empleado repetido</v>
      </c>
    </row>
    <row r="4" customFormat="false" ht="15" hidden="false" customHeight="false" outlineLevel="0" collapsed="false">
      <c r="A4" s="3" t="n">
        <v>2110</v>
      </c>
      <c r="B4" s="3" t="s">
        <v>29</v>
      </c>
      <c r="C4" s="3" t="s">
        <v>30</v>
      </c>
      <c r="D4" s="3" t="s">
        <v>31</v>
      </c>
      <c r="E4" s="3" t="s">
        <v>32</v>
      </c>
      <c r="F4" s="3"/>
      <c r="G4" s="3" t="s">
        <v>33</v>
      </c>
      <c r="H4" s="3" t="s">
        <v>34</v>
      </c>
      <c r="I4" s="3" t="s">
        <v>35</v>
      </c>
      <c r="J4" s="3" t="s">
        <v>36</v>
      </c>
      <c r="K4" s="3" t="s">
        <v>28</v>
      </c>
      <c r="L4" s="4" t="str">
        <f aca="false">IF(LEN(G4)&lt;&gt;13,"RFC formato invalido",IF(LEN(H4)&lt;&gt;18,"CURP formato invalido",IF(ISERROR(SEARCH("@",I4)),"Correo invalido",IF(OR(A4="",B4="",C4="",E4="",G4="",H4="",I4=""),"Campo obligatorio vacio",IF(COUNTIF(ListaNegra!$A:$A,G4)&gt;0,"Uno en lista negra",IF(K4="No","CURP no existe",IF(COUNTIF($G$3:$G$102,G4)&gt;1,"Empleado repetido","OK")))))))</f>
        <v>OK</v>
      </c>
    </row>
    <row r="5" customFormat="false" ht="15" hidden="false" customHeight="false" outlineLevel="0" collapsed="false">
      <c r="A5" s="3" t="n">
        <v>2110</v>
      </c>
      <c r="B5" s="3" t="s">
        <v>37</v>
      </c>
      <c r="C5" s="3" t="s">
        <v>38</v>
      </c>
      <c r="D5" s="3" t="s">
        <v>39</v>
      </c>
      <c r="E5" s="3" t="s">
        <v>40</v>
      </c>
      <c r="F5" s="3"/>
      <c r="G5" s="3" t="s">
        <v>41</v>
      </c>
      <c r="H5" s="3" t="s">
        <v>42</v>
      </c>
      <c r="I5" s="3" t="s">
        <v>43</v>
      </c>
      <c r="J5" s="3" t="s">
        <v>44</v>
      </c>
      <c r="K5" s="3" t="s">
        <v>28</v>
      </c>
      <c r="L5" s="4" t="str">
        <f aca="false">IF(LEN(G5)&lt;&gt;13,"RFC formato invalido",IF(LEN(H5)&lt;&gt;18,"CURP formato invalido",IF(ISERROR(SEARCH("@",I5)),"Correo invalido",IF(OR(A5="",B5="",C5="",E5="",G5="",H5="",I5=""),"Campo obligatorio vacio",IF(COUNTIF(ListaNegra!$A:$A,G5)&gt;0,"Uno en lista negra",IF(K5="No","CURP no existe",IF(COUNTIF($G$3:$G$102,G5)&gt;1,"Empleado repetido","OK")))))))</f>
        <v>OK</v>
      </c>
    </row>
    <row r="6" customFormat="false" ht="15" hidden="false" customHeight="false" outlineLevel="0" collapsed="false">
      <c r="A6" s="3" t="n">
        <v>2405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28</v>
      </c>
      <c r="L6" s="4" t="str">
        <f aca="false">IF(LEN(G6)&lt;&gt;13,"RFC formato invalido",IF(LEN(H6)&lt;&gt;18,"CURP formato invalido",IF(ISERROR(SEARCH("@",I6)),"Correo invalido",IF(OR(A6="",B6="",C6="",E6="",G6="",H6="",I6=""),"Campo obligatorio vacio",IF(COUNTIF(ListaNegra!$A:$A,G6)&gt;0,"Uno en lista negra",IF(K6="No","CURP no existe",IF(COUNTIF($G$3:$G$102,G6)&gt;1,"Empleado repetido","OK")))))))</f>
        <v>OK</v>
      </c>
    </row>
    <row r="7" customFormat="false" ht="15" hidden="false" customHeight="false" outlineLevel="0" collapsed="false">
      <c r="A7" s="3" t="n">
        <v>3110</v>
      </c>
      <c r="B7" s="3" t="s">
        <v>54</v>
      </c>
      <c r="C7" s="3" t="s">
        <v>55</v>
      </c>
      <c r="D7" s="3" t="s">
        <v>22</v>
      </c>
      <c r="E7" s="3" t="s">
        <v>56</v>
      </c>
      <c r="F7" s="3"/>
      <c r="G7" s="3" t="s">
        <v>57</v>
      </c>
      <c r="H7" s="3" t="s">
        <v>58</v>
      </c>
      <c r="I7" s="3" t="s">
        <v>59</v>
      </c>
      <c r="J7" s="3" t="s">
        <v>60</v>
      </c>
      <c r="K7" s="3" t="s">
        <v>28</v>
      </c>
      <c r="L7" s="4" t="str">
        <f aca="false">IF(LEN(G7)&lt;&gt;13,"RFC formato invalido",IF(LEN(H7)&lt;&gt;18,"CURP formato invalido",IF(ISERROR(SEARCH("@",I7)),"Correo invalido",IF(OR(A7="",B7="",C7="",E7="",G7="",H7="",I7=""),"Campo obligatorio vacio",IF(COUNTIF(ListaNegra!$A:$A,G7)&gt;0,"Uno en lista negra",IF(K7="No","CURP no existe",IF(COUNTIF($G$3:$G$102,G7)&gt;1,"Empleado repetido","OK")))))))</f>
        <v>Empleado repetido</v>
      </c>
    </row>
    <row r="8" customFormat="false" ht="15" hidden="false" customHeight="false" outlineLevel="0" collapsed="false">
      <c r="A8" s="3" t="n">
        <v>2110</v>
      </c>
      <c r="B8" s="3" t="s">
        <v>61</v>
      </c>
      <c r="C8" s="3" t="s">
        <v>21</v>
      </c>
      <c r="D8" s="3" t="s">
        <v>30</v>
      </c>
      <c r="E8" s="3" t="s">
        <v>62</v>
      </c>
      <c r="F8" s="3"/>
      <c r="G8" s="3" t="s">
        <v>63</v>
      </c>
      <c r="H8" s="3" t="s">
        <v>64</v>
      </c>
      <c r="I8" s="3" t="s">
        <v>65</v>
      </c>
      <c r="J8" s="3" t="s">
        <v>36</v>
      </c>
      <c r="K8" s="3" t="s">
        <v>28</v>
      </c>
      <c r="L8" s="4" t="str">
        <f aca="false">IF(LEN(G8)&lt;&gt;13,"RFC formato invalido",IF(LEN(H8)&lt;&gt;18,"CURP formato invalido",IF(ISERROR(SEARCH("@",I8)),"Correo invalido",IF(OR(A8="",B8="",C8="",E8="",G8="",H8="",I8=""),"Campo obligatorio vacio",IF(COUNTIF(ListaNegra!$A:$A,G8)&gt;0,"Uno en lista negra",IF(K8="No","CURP no existe",IF(COUNTIF($G$3:$G$102,G8)&gt;1,"Empleado repetido","OK")))))))</f>
        <v>OK</v>
      </c>
    </row>
    <row r="9" customFormat="false" ht="15" hidden="false" customHeight="false" outlineLevel="0" collapsed="false">
      <c r="A9" s="3" t="n">
        <v>2110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32</v>
      </c>
      <c r="G9" s="3" t="s">
        <v>70</v>
      </c>
      <c r="H9" s="3" t="s">
        <v>71</v>
      </c>
      <c r="I9" s="3" t="s">
        <v>72</v>
      </c>
      <c r="J9" s="3" t="s">
        <v>36</v>
      </c>
      <c r="K9" s="3" t="s">
        <v>28</v>
      </c>
      <c r="L9" s="4" t="str">
        <f aca="false">IF(LEN(G9)&lt;&gt;13,"RFC formato invalido",IF(LEN(H9)&lt;&gt;18,"CURP formato invalido",IF(ISERROR(SEARCH("@",I9)),"Correo invalido",IF(OR(A9="",B9="",C9="",E9="",G9="",H9="",I9=""),"Campo obligatorio vacio",IF(COUNTIF(ListaNegra!$A:$A,G9)&gt;0,"Uno en lista negra",IF(K9="No","CURP no existe",IF(COUNTIF($G$3:$G$102,G9)&gt;1,"Empleado repetido","OK")))))))</f>
        <v>OK</v>
      </c>
    </row>
    <row r="10" customFormat="false" ht="15" hidden="false" customHeight="false" outlineLevel="0" collapsed="false">
      <c r="A10" s="3" t="n">
        <v>3110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80</v>
      </c>
      <c r="J10" s="3" t="s">
        <v>81</v>
      </c>
      <c r="K10" s="3" t="s">
        <v>28</v>
      </c>
      <c r="L10" s="4" t="str">
        <f aca="false">IF(LEN(G10)&lt;&gt;13,"RFC formato invalido",IF(LEN(H10)&lt;&gt;18,"CURP formato invalido",IF(ISERROR(SEARCH("@",I10)),"Correo invalido",IF(OR(A10="",B10="",C10="",E10="",G10="",H10="",I10=""),"Campo obligatorio vacio",IF(COUNTIF(ListaNegra!$A:$A,G10)&gt;0,"Uno en lista negra",IF(K10="No","CURP no existe",IF(COUNTIF($G$3:$G$102,G10)&gt;1,"Empleado repetido","OK")))))))</f>
        <v>Uno en lista negra</v>
      </c>
    </row>
    <row r="11" customFormat="false" ht="15" hidden="false" customHeight="false" outlineLevel="0" collapsed="false">
      <c r="A11" s="3" t="n">
        <v>3110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87</v>
      </c>
      <c r="H11" s="3" t="s">
        <v>88</v>
      </c>
      <c r="I11" s="3" t="s">
        <v>89</v>
      </c>
      <c r="J11" s="3" t="s">
        <v>53</v>
      </c>
      <c r="K11" s="3" t="s">
        <v>28</v>
      </c>
      <c r="L11" s="4" t="str">
        <f aca="false">IF(LEN(G11)&lt;&gt;13,"RFC formato invalido",IF(LEN(H11)&lt;&gt;18,"CURP formato invalido",IF(ISERROR(SEARCH("@",I11)),"Correo invalido",IF(OR(A11="",B11="",C11="",E11="",G11="",H11="",I11=""),"Campo obligatorio vacio",IF(COUNTIF(ListaNegra!$A:$A,G11)&gt;0,"Uno en lista negra",IF(K11="No","CURP no existe",IF(COUNTIF($G$3:$G$102,G11)&gt;1,"Empleado repetido","OK")))))))</f>
        <v>OK</v>
      </c>
    </row>
    <row r="12" customFormat="false" ht="15" hidden="false" customHeight="false" outlineLevel="0" collapsed="false">
      <c r="A12" s="3" t="n">
        <v>2110</v>
      </c>
      <c r="B12" s="3" t="s">
        <v>90</v>
      </c>
      <c r="C12" s="3" t="s">
        <v>91</v>
      </c>
      <c r="D12" s="3" t="s">
        <v>46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96</v>
      </c>
      <c r="J12" s="3" t="s">
        <v>44</v>
      </c>
      <c r="K12" s="3" t="s">
        <v>28</v>
      </c>
      <c r="L12" s="4" t="str">
        <f aca="false">IF(LEN(G12)&lt;&gt;13,"RFC formato invalido",IF(LEN(H12)&lt;&gt;18,"CURP formato invalido",IF(ISERROR(SEARCH("@",I12)),"Correo invalido",IF(OR(A12="",B12="",C12="",E12="",G12="",H12="",I12=""),"Campo obligatorio vacio",IF(COUNTIF(ListaNegra!$A:$A,G12)&gt;0,"Uno en lista negra",IF(K12="No","CURP no existe",IF(COUNTIF($G$3:$G$102,G12)&gt;1,"Empleado repetido","OK")))))))</f>
        <v>OK</v>
      </c>
    </row>
    <row r="13" customFormat="false" ht="15" hidden="false" customHeight="false" outlineLevel="0" collapsed="false">
      <c r="A13" s="3" t="n">
        <v>3110</v>
      </c>
      <c r="B13" s="3" t="s">
        <v>97</v>
      </c>
      <c r="C13" s="3" t="s">
        <v>84</v>
      </c>
      <c r="D13" s="3" t="s">
        <v>98</v>
      </c>
      <c r="E13" s="3" t="s">
        <v>56</v>
      </c>
      <c r="F13" s="3" t="s">
        <v>85</v>
      </c>
      <c r="G13" s="3" t="s">
        <v>99</v>
      </c>
      <c r="H13" s="3" t="s">
        <v>100</v>
      </c>
      <c r="I13" s="3" t="s">
        <v>101</v>
      </c>
      <c r="J13" s="3" t="s">
        <v>102</v>
      </c>
      <c r="K13" s="3" t="s">
        <v>28</v>
      </c>
      <c r="L13" s="4" t="str">
        <f aca="false">IF(LEN(G13)&lt;&gt;13,"RFC formato invalido",IF(LEN(H13)&lt;&gt;18,"CURP formato invalido",IF(ISERROR(SEARCH("@",I13)),"Correo invalido",IF(OR(A13="",B13="",C13="",E13="",G13="",H13="",I13=""),"Campo obligatorio vacio",IF(COUNTIF(ListaNegra!$A:$A,G13)&gt;0,"Uno en lista negra",IF(K13="No","CURP no existe",IF(COUNTIF($G$3:$G$102,G13)&gt;1,"Empleado repetido","OK")))))))</f>
        <v>OK</v>
      </c>
    </row>
    <row r="14" customFormat="false" ht="15" hidden="false" customHeight="false" outlineLevel="0" collapsed="false">
      <c r="A14" s="3" t="n">
        <v>2110</v>
      </c>
      <c r="B14" s="3" t="s">
        <v>103</v>
      </c>
      <c r="C14" s="3" t="s">
        <v>104</v>
      </c>
      <c r="D14" s="3" t="s">
        <v>55</v>
      </c>
      <c r="E14" s="3" t="s">
        <v>76</v>
      </c>
      <c r="F14" s="3" t="s">
        <v>105</v>
      </c>
      <c r="G14" s="3" t="s">
        <v>106</v>
      </c>
      <c r="H14" s="3" t="s">
        <v>107</v>
      </c>
      <c r="I14" s="3" t="s">
        <v>108</v>
      </c>
      <c r="J14" s="3" t="s">
        <v>44</v>
      </c>
      <c r="K14" s="3" t="s">
        <v>28</v>
      </c>
      <c r="L14" s="4" t="str">
        <f aca="false">IF(LEN(G14)&lt;&gt;13,"RFC formato invalido",IF(LEN(H14)&lt;&gt;18,"CURP formato invalido",IF(ISERROR(SEARCH("@",I14)),"Correo invalido",IF(OR(A14="",B14="",C14="",E14="",G14="",H14="",I14=""),"Campo obligatorio vacio",IF(COUNTIF(ListaNegra!$A:$A,G14)&gt;0,"Uno en lista negra",IF(K14="No","CURP no existe",IF(COUNTIF($G$3:$G$102,G14)&gt;1,"Empleado repetido","OK")))))))</f>
        <v>OK</v>
      </c>
    </row>
    <row r="15" customFormat="false" ht="15" hidden="false" customHeight="false" outlineLevel="0" collapsed="false">
      <c r="A15" s="3" t="n">
        <v>2110</v>
      </c>
      <c r="B15" s="3" t="s">
        <v>109</v>
      </c>
      <c r="C15" s="3" t="s">
        <v>110</v>
      </c>
      <c r="D15" s="3" t="s">
        <v>21</v>
      </c>
      <c r="E15" s="3" t="s">
        <v>111</v>
      </c>
      <c r="F15" s="3"/>
      <c r="G15" s="3" t="s">
        <v>112</v>
      </c>
      <c r="H15" s="3" t="s">
        <v>113</v>
      </c>
      <c r="I15" s="3" t="s">
        <v>114</v>
      </c>
      <c r="J15" s="3" t="s">
        <v>27</v>
      </c>
      <c r="K15" s="3" t="s">
        <v>28</v>
      </c>
      <c r="L15" s="4" t="str">
        <f aca="false">IF(LEN(G15)&lt;&gt;13,"RFC formato invalido",IF(LEN(H15)&lt;&gt;18,"CURP formato invalido",IF(ISERROR(SEARCH("@",I15)),"Correo invalido",IF(OR(A15="",B15="",C15="",E15="",G15="",H15="",I15=""),"Campo obligatorio vacio",IF(COUNTIF(ListaNegra!$A:$A,G15)&gt;0,"Uno en lista negra",IF(K15="No","CURP no existe",IF(COUNTIF($G$3:$G$102,G15)&gt;1,"Empleado repetido","OK")))))))</f>
        <v>OK</v>
      </c>
    </row>
    <row r="16" customFormat="false" ht="15" hidden="false" customHeight="false" outlineLevel="0" collapsed="false">
      <c r="A16" s="3" t="n">
        <v>2405</v>
      </c>
      <c r="B16" s="3" t="s">
        <v>115</v>
      </c>
      <c r="C16" s="3" t="s">
        <v>55</v>
      </c>
      <c r="D16" s="3" t="s">
        <v>116</v>
      </c>
      <c r="E16" s="3" t="s">
        <v>117</v>
      </c>
      <c r="F16" s="3" t="s">
        <v>93</v>
      </c>
      <c r="G16" s="3" t="s">
        <v>118</v>
      </c>
      <c r="H16" s="3" t="s">
        <v>119</v>
      </c>
      <c r="I16" s="3" t="s">
        <v>120</v>
      </c>
      <c r="J16" s="3" t="s">
        <v>36</v>
      </c>
      <c r="K16" s="3" t="s">
        <v>28</v>
      </c>
      <c r="L16" s="4" t="str">
        <f aca="false">IF(LEN(G16)&lt;&gt;13,"RFC formato invalido",IF(LEN(H16)&lt;&gt;18,"CURP formato invalido",IF(ISERROR(SEARCH("@",I16)),"Correo invalido",IF(OR(A16="",B16="",C16="",E16="",G16="",H16="",I16=""),"Campo obligatorio vacio",IF(COUNTIF(ListaNegra!$A:$A,G16)&gt;0,"Uno en lista negra",IF(K16="No","CURP no existe",IF(COUNTIF($G$3:$G$102,G16)&gt;1,"Empleado repetido","OK")))))))</f>
        <v>OK</v>
      </c>
    </row>
    <row r="17" customFormat="false" ht="15" hidden="false" customHeight="false" outlineLevel="0" collapsed="false">
      <c r="A17" s="3" t="n">
        <v>2110</v>
      </c>
      <c r="B17" s="3" t="s">
        <v>121</v>
      </c>
      <c r="C17" s="3" t="s">
        <v>122</v>
      </c>
      <c r="D17" s="3" t="s">
        <v>30</v>
      </c>
      <c r="E17" s="3" t="s">
        <v>123</v>
      </c>
      <c r="F17" s="3"/>
      <c r="G17" s="3" t="s">
        <v>124</v>
      </c>
      <c r="H17" s="3" t="s">
        <v>125</v>
      </c>
      <c r="I17" s="3" t="s">
        <v>126</v>
      </c>
      <c r="J17" s="3" t="s">
        <v>44</v>
      </c>
      <c r="K17" s="3" t="s">
        <v>28</v>
      </c>
      <c r="L17" s="4" t="str">
        <f aca="false">IF(LEN(G17)&lt;&gt;13,"RFC formato invalido",IF(LEN(H17)&lt;&gt;18,"CURP formato invalido",IF(ISERROR(SEARCH("@",I17)),"Correo invalido",IF(OR(A17="",B17="",C17="",E17="",G17="",H17="",I17=""),"Campo obligatorio vacio",IF(COUNTIF(ListaNegra!$A:$A,G17)&gt;0,"Uno en lista negra",IF(K17="No","CURP no existe",IF(COUNTIF($G$3:$G$102,G17)&gt;1,"Empleado repetido","OK")))))))</f>
        <v>OK</v>
      </c>
    </row>
    <row r="18" customFormat="false" ht="15" hidden="false" customHeight="false" outlineLevel="0" collapsed="false">
      <c r="A18" s="3" t="n">
        <v>3110</v>
      </c>
      <c r="B18" s="3" t="s">
        <v>127</v>
      </c>
      <c r="C18" s="3" t="s">
        <v>84</v>
      </c>
      <c r="D18" s="3" t="s">
        <v>128</v>
      </c>
      <c r="E18" s="3" t="s">
        <v>93</v>
      </c>
      <c r="F18" s="3" t="s">
        <v>48</v>
      </c>
      <c r="G18" s="3" t="s">
        <v>129</v>
      </c>
      <c r="H18" s="3" t="s">
        <v>130</v>
      </c>
      <c r="I18" s="3" t="s">
        <v>131</v>
      </c>
      <c r="J18" s="3" t="s">
        <v>60</v>
      </c>
      <c r="K18" s="3" t="s">
        <v>28</v>
      </c>
      <c r="L18" s="4" t="str">
        <f aca="false">IF(LEN(G18)&lt;&gt;13,"RFC formato invalido",IF(LEN(H18)&lt;&gt;18,"CURP formato invalido",IF(ISERROR(SEARCH("@",I18)),"Correo invalido",IF(OR(A18="",B18="",C18="",E18="",G18="",H18="",I18=""),"Campo obligatorio vacio",IF(COUNTIF(ListaNegra!$A:$A,G18)&gt;0,"Uno en lista negra",IF(K18="No","CURP no existe",IF(COUNTIF($G$3:$G$102,G18)&gt;1,"Empleado repetido","OK")))))))</f>
        <v>OK</v>
      </c>
    </row>
    <row r="19" customFormat="false" ht="15" hidden="false" customHeight="false" outlineLevel="0" collapsed="false">
      <c r="A19" s="3" t="n">
        <v>3110</v>
      </c>
      <c r="B19" s="3" t="s">
        <v>132</v>
      </c>
      <c r="C19" s="3" t="s">
        <v>98</v>
      </c>
      <c r="D19" s="3" t="s">
        <v>116</v>
      </c>
      <c r="E19" s="3" t="s">
        <v>56</v>
      </c>
      <c r="F19" s="3" t="s">
        <v>111</v>
      </c>
      <c r="G19" s="3" t="s">
        <v>133</v>
      </c>
      <c r="H19" s="3" t="s">
        <v>134</v>
      </c>
      <c r="I19" s="3" t="s">
        <v>135</v>
      </c>
      <c r="J19" s="3" t="s">
        <v>27</v>
      </c>
      <c r="K19" s="3" t="s">
        <v>136</v>
      </c>
      <c r="L19" s="4" t="str">
        <f aca="false">IF(LEN(G19)&lt;&gt;13,"RFC formato invalido",IF(LEN(H19)&lt;&gt;18,"CURP formato invalido",IF(ISERROR(SEARCH("@",I19)),"Correo invalido",IF(OR(A19="",B19="",C19="",E19="",G19="",H19="",I19=""),"Campo obligatorio vacio",IF(COUNTIF(ListaNegra!$A:$A,G19)&gt;0,"Uno en lista negra",IF(K19="No","CURP no existe",IF(COUNTIF($G$3:$G$102,G19)&gt;1,"Empleado repetido","OK")))))))</f>
        <v>CURP no existe</v>
      </c>
    </row>
    <row r="20" customFormat="false" ht="15" hidden="false" customHeight="false" outlineLevel="0" collapsed="false">
      <c r="A20" s="3" t="n">
        <v>2110</v>
      </c>
      <c r="B20" s="3" t="s">
        <v>137</v>
      </c>
      <c r="C20" s="3" t="s">
        <v>55</v>
      </c>
      <c r="D20" s="3" t="s">
        <v>74</v>
      </c>
      <c r="E20" s="3" t="s">
        <v>117</v>
      </c>
      <c r="F20" s="3" t="s">
        <v>138</v>
      </c>
      <c r="G20" s="3" t="s">
        <v>139</v>
      </c>
      <c r="H20" s="3" t="s">
        <v>140</v>
      </c>
      <c r="I20" s="3" t="s">
        <v>120</v>
      </c>
      <c r="J20" s="3" t="s">
        <v>53</v>
      </c>
      <c r="K20" s="3" t="s">
        <v>28</v>
      </c>
      <c r="L20" s="4" t="str">
        <f aca="false">IF(LEN(G20)&lt;&gt;13,"RFC formato invalido",IF(LEN(H20)&lt;&gt;18,"CURP formato invalido",IF(ISERROR(SEARCH("@",I20)),"Correo invalido",IF(OR(A20="",B20="",C20="",E20="",G20="",H20="",I20=""),"Campo obligatorio vacio",IF(COUNTIF(ListaNegra!$A:$A,G20)&gt;0,"Uno en lista negra",IF(K20="No","CURP no existe",IF(COUNTIF($G$3:$G$102,G20)&gt;1,"Empleado repetido","OK")))))))</f>
        <v>OK</v>
      </c>
    </row>
    <row r="21" customFormat="false" ht="15" hidden="false" customHeight="false" outlineLevel="0" collapsed="false">
      <c r="A21" s="3" t="n">
        <v>3110</v>
      </c>
      <c r="B21" s="3" t="s">
        <v>141</v>
      </c>
      <c r="C21" s="3" t="s">
        <v>142</v>
      </c>
      <c r="D21" s="3" t="s">
        <v>31</v>
      </c>
      <c r="E21" s="3" t="s">
        <v>143</v>
      </c>
      <c r="F21" s="3"/>
      <c r="G21" s="3" t="s">
        <v>144</v>
      </c>
      <c r="H21" s="3" t="s">
        <v>145</v>
      </c>
      <c r="I21" s="3" t="s">
        <v>146</v>
      </c>
      <c r="J21" s="3" t="s">
        <v>44</v>
      </c>
      <c r="K21" s="3" t="s">
        <v>28</v>
      </c>
      <c r="L21" s="4" t="str">
        <f aca="false">IF(LEN(G21)&lt;&gt;13,"RFC formato invalido",IF(LEN(H21)&lt;&gt;18,"CURP formato invalido",IF(ISERROR(SEARCH("@",I21)),"Correo invalido",IF(OR(A21="",B21="",C21="",E21="",G21="",H21="",I21=""),"Campo obligatorio vacio",IF(COUNTIF(ListaNegra!$A:$A,G21)&gt;0,"Uno en lista negra",IF(K21="No","CURP no existe",IF(COUNTIF($G$3:$G$102,G21)&gt;1,"Empleado repetido","OK")))))))</f>
        <v>OK</v>
      </c>
    </row>
    <row r="22" customFormat="false" ht="15" hidden="false" customHeight="false" outlineLevel="0" collapsed="false">
      <c r="A22" s="3" t="n">
        <v>2405</v>
      </c>
      <c r="B22" s="3" t="s">
        <v>147</v>
      </c>
      <c r="C22" s="3" t="s">
        <v>148</v>
      </c>
      <c r="D22" s="3" t="s">
        <v>149</v>
      </c>
      <c r="E22" s="3" t="s">
        <v>69</v>
      </c>
      <c r="F22" s="3"/>
      <c r="G22" s="3" t="s">
        <v>150</v>
      </c>
      <c r="H22" s="3" t="s">
        <v>151</v>
      </c>
      <c r="I22" s="3" t="s">
        <v>152</v>
      </c>
      <c r="J22" s="3" t="s">
        <v>153</v>
      </c>
      <c r="K22" s="3" t="s">
        <v>28</v>
      </c>
      <c r="L22" s="4" t="str">
        <f aca="false">IF(LEN(G22)&lt;&gt;13,"RFC formato invalido",IF(LEN(H22)&lt;&gt;18,"CURP formato invalido",IF(ISERROR(SEARCH("@",I22)),"Correo invalido",IF(OR(A22="",B22="",C22="",E22="",G22="",H22="",I22=""),"Campo obligatorio vacio",IF(COUNTIF(ListaNegra!$A:$A,G22)&gt;0,"Uno en lista negra",IF(K22="No","CURP no existe",IF(COUNTIF($G$3:$G$102,G22)&gt;1,"Empleado repetido","OK")))))))</f>
        <v>OK</v>
      </c>
    </row>
    <row r="23" customFormat="false" ht="15" hidden="false" customHeight="false" outlineLevel="0" collapsed="false">
      <c r="A23" s="3" t="n">
        <v>3110</v>
      </c>
      <c r="B23" s="3" t="s">
        <v>154</v>
      </c>
      <c r="C23" s="3" t="s">
        <v>55</v>
      </c>
      <c r="D23" s="3" t="s">
        <v>22</v>
      </c>
      <c r="E23" s="3" t="s">
        <v>56</v>
      </c>
      <c r="F23" s="3"/>
      <c r="G23" s="3" t="s">
        <v>57</v>
      </c>
      <c r="H23" s="3" t="s">
        <v>58</v>
      </c>
      <c r="I23" s="3" t="s">
        <v>59</v>
      </c>
      <c r="J23" s="3" t="s">
        <v>44</v>
      </c>
      <c r="K23" s="3" t="s">
        <v>28</v>
      </c>
      <c r="L23" s="4" t="str">
        <f aca="false">IF(LEN(G23)&lt;&gt;13,"RFC formato invalido",IF(LEN(H23)&lt;&gt;18,"CURP formato invalido",IF(ISERROR(SEARCH("@",I23)),"Correo invalido",IF(OR(A23="",B23="",C23="",E23="",G23="",H23="",I23=""),"Campo obligatorio vacio",IF(COUNTIF(ListaNegra!$A:$A,G23)&gt;0,"Uno en lista negra",IF(K23="No","CURP no existe",IF(COUNTIF($G$3:$G$102,G23)&gt;1,"Empleado repetido","OK")))))))</f>
        <v>Empleado repetido</v>
      </c>
    </row>
    <row r="24" customFormat="false" ht="15" hidden="false" customHeight="false" outlineLevel="0" collapsed="false">
      <c r="A24" s="3" t="n">
        <v>2110</v>
      </c>
      <c r="B24" s="3" t="s">
        <v>155</v>
      </c>
      <c r="C24" s="3" t="s">
        <v>67</v>
      </c>
      <c r="D24" s="3" t="s">
        <v>156</v>
      </c>
      <c r="E24" s="3" t="s">
        <v>49</v>
      </c>
      <c r="F24" s="3" t="s">
        <v>157</v>
      </c>
      <c r="G24" s="3" t="s">
        <v>158</v>
      </c>
      <c r="H24" s="3" t="s">
        <v>159</v>
      </c>
      <c r="I24" s="3" t="s">
        <v>160</v>
      </c>
      <c r="J24" s="3" t="s">
        <v>102</v>
      </c>
      <c r="K24" s="3" t="s">
        <v>28</v>
      </c>
      <c r="L24" s="4" t="str">
        <f aca="false">IF(LEN(G24)&lt;&gt;13,"RFC formato invalido",IF(LEN(H24)&lt;&gt;18,"CURP formato invalido",IF(ISERROR(SEARCH("@",I24)),"Correo invalido",IF(OR(A24="",B24="",C24="",E24="",G24="",H24="",I24=""),"Campo obligatorio vacio",IF(COUNTIF(ListaNegra!$A:$A,G24)&gt;0,"Uno en lista negra",IF(K24="No","CURP no existe",IF(COUNTIF($G$3:$G$102,G24)&gt;1,"Empleado repetido","OK")))))))</f>
        <v>RFC formato invalido</v>
      </c>
    </row>
    <row r="25" customFormat="false" ht="15" hidden="false" customHeight="false" outlineLevel="0" collapsed="false">
      <c r="A25" s="3" t="n">
        <v>2110</v>
      </c>
      <c r="B25" s="3" t="s">
        <v>161</v>
      </c>
      <c r="C25" s="3" t="s">
        <v>148</v>
      </c>
      <c r="D25" s="3" t="s">
        <v>162</v>
      </c>
      <c r="E25" s="3" t="s">
        <v>117</v>
      </c>
      <c r="F25" s="3" t="s">
        <v>92</v>
      </c>
      <c r="G25" s="3" t="s">
        <v>163</v>
      </c>
      <c r="H25" s="3" t="s">
        <v>164</v>
      </c>
      <c r="I25" s="3" t="s">
        <v>165</v>
      </c>
      <c r="J25" s="3" t="s">
        <v>153</v>
      </c>
      <c r="K25" s="3" t="s">
        <v>28</v>
      </c>
      <c r="L25" s="4" t="str">
        <f aca="false">IF(LEN(G25)&lt;&gt;13,"RFC formato invalido",IF(LEN(H25)&lt;&gt;18,"CURP formato invalido",IF(ISERROR(SEARCH("@",I25)),"Correo invalido",IF(OR(A25="",B25="",C25="",E25="",G25="",H25="",I25=""),"Campo obligatorio vacio",IF(COUNTIF(ListaNegra!$A:$A,G25)&gt;0,"Uno en lista negra",IF(K25="No","CURP no existe",IF(COUNTIF($G$3:$G$102,G25)&gt;1,"Empleado repetido","OK")))))))</f>
        <v>OK</v>
      </c>
    </row>
    <row r="26" customFormat="false" ht="15" hidden="false" customHeight="false" outlineLevel="0" collapsed="false">
      <c r="A26" s="3" t="n">
        <v>2110</v>
      </c>
      <c r="B26" s="3" t="s">
        <v>166</v>
      </c>
      <c r="C26" s="3" t="s">
        <v>116</v>
      </c>
      <c r="D26" s="3" t="s">
        <v>104</v>
      </c>
      <c r="E26" s="3" t="s">
        <v>167</v>
      </c>
      <c r="F26" s="3" t="s">
        <v>105</v>
      </c>
      <c r="G26" s="3" t="s">
        <v>168</v>
      </c>
      <c r="H26" s="3" t="s">
        <v>169</v>
      </c>
      <c r="I26" s="3" t="s">
        <v>170</v>
      </c>
      <c r="J26" s="3" t="s">
        <v>36</v>
      </c>
      <c r="K26" s="3" t="s">
        <v>28</v>
      </c>
      <c r="L26" s="4" t="str">
        <f aca="false">IF(LEN(G26)&lt;&gt;13,"RFC formato invalido",IF(LEN(H26)&lt;&gt;18,"CURP formato invalido",IF(ISERROR(SEARCH("@",I26)),"Correo invalido",IF(OR(A26="",B26="",C26="",E26="",G26="",H26="",I26=""),"Campo obligatorio vacio",IF(COUNTIF(ListaNegra!$A:$A,G26)&gt;0,"Uno en lista negra",IF(K26="No","CURP no existe",IF(COUNTIF($G$3:$G$102,G26)&gt;1,"Empleado repetido","OK")))))))</f>
        <v>Empleado repetido</v>
      </c>
    </row>
    <row r="27" customFormat="false" ht="15" hidden="false" customHeight="false" outlineLevel="0" collapsed="false">
      <c r="A27" s="3" t="n">
        <v>2110</v>
      </c>
      <c r="B27" s="3" t="s">
        <v>171</v>
      </c>
      <c r="C27" s="3" t="s">
        <v>128</v>
      </c>
      <c r="D27" s="3" t="s">
        <v>172</v>
      </c>
      <c r="E27" s="3" t="s">
        <v>173</v>
      </c>
      <c r="F27" s="3" t="s">
        <v>167</v>
      </c>
      <c r="G27" s="3" t="s">
        <v>174</v>
      </c>
      <c r="H27" s="3" t="s">
        <v>175</v>
      </c>
      <c r="I27" s="3" t="s">
        <v>176</v>
      </c>
      <c r="J27" s="3" t="s">
        <v>81</v>
      </c>
      <c r="K27" s="3" t="s">
        <v>28</v>
      </c>
      <c r="L27" s="4" t="str">
        <f aca="false">IF(LEN(G27)&lt;&gt;13,"RFC formato invalido",IF(LEN(H27)&lt;&gt;18,"CURP formato invalido",IF(ISERROR(SEARCH("@",I27)),"Correo invalido",IF(OR(A27="",B27="",C27="",E27="",G27="",H27="",I27=""),"Campo obligatorio vacio",IF(COUNTIF(ListaNegra!$A:$A,G27)&gt;0,"Uno en lista negra",IF(K27="No","CURP no existe",IF(COUNTIF($G$3:$G$102,G27)&gt;1,"Empleado repetido","OK")))))))</f>
        <v>OK</v>
      </c>
    </row>
    <row r="28" customFormat="false" ht="15" hidden="false" customHeight="false" outlineLevel="0" collapsed="false">
      <c r="A28" s="3" t="n">
        <v>2405</v>
      </c>
      <c r="B28" s="3" t="s">
        <v>177</v>
      </c>
      <c r="C28" s="3" t="s">
        <v>31</v>
      </c>
      <c r="D28" s="3" t="s">
        <v>128</v>
      </c>
      <c r="E28" s="3" t="s">
        <v>49</v>
      </c>
      <c r="F28" s="3" t="s">
        <v>92</v>
      </c>
      <c r="G28" s="3" t="s">
        <v>178</v>
      </c>
      <c r="H28" s="3" t="s">
        <v>179</v>
      </c>
      <c r="I28" s="3" t="s">
        <v>180</v>
      </c>
      <c r="J28" s="3" t="s">
        <v>81</v>
      </c>
      <c r="K28" s="3" t="s">
        <v>28</v>
      </c>
      <c r="L28" s="4" t="str">
        <f aca="false">IF(LEN(G28)&lt;&gt;13,"RFC formato invalido",IF(LEN(H28)&lt;&gt;18,"CURP formato invalido",IF(ISERROR(SEARCH("@",I28)),"Correo invalido",IF(OR(A28="",B28="",C28="",E28="",G28="",H28="",I28=""),"Campo obligatorio vacio",IF(COUNTIF(ListaNegra!$A:$A,G28)&gt;0,"Uno en lista negra",IF(K28="No","CURP no existe",IF(COUNTIF($G$3:$G$102,G28)&gt;1,"Empleado repetido","OK")))))))</f>
        <v>OK</v>
      </c>
    </row>
    <row r="29" customFormat="false" ht="15" hidden="false" customHeight="false" outlineLevel="0" collapsed="false">
      <c r="A29" s="3" t="n">
        <v>2405</v>
      </c>
      <c r="B29" s="3" t="s">
        <v>181</v>
      </c>
      <c r="C29" s="3" t="s">
        <v>116</v>
      </c>
      <c r="D29" s="3" t="s">
        <v>104</v>
      </c>
      <c r="E29" s="3" t="s">
        <v>167</v>
      </c>
      <c r="F29" s="3" t="s">
        <v>105</v>
      </c>
      <c r="G29" s="3" t="s">
        <v>168</v>
      </c>
      <c r="H29" s="3" t="s">
        <v>169</v>
      </c>
      <c r="I29" s="3" t="s">
        <v>170</v>
      </c>
      <c r="J29" s="3" t="s">
        <v>53</v>
      </c>
      <c r="K29" s="3" t="s">
        <v>28</v>
      </c>
      <c r="L29" s="4" t="str">
        <f aca="false">IF(LEN(G29)&lt;&gt;13,"RFC formato invalido",IF(LEN(H29)&lt;&gt;18,"CURP formato invalido",IF(ISERROR(SEARCH("@",I29)),"Correo invalido",IF(OR(A29="",B29="",C29="",E29="",G29="",H29="",I29=""),"Campo obligatorio vacio",IF(COUNTIF(ListaNegra!$A:$A,G29)&gt;0,"Uno en lista negra",IF(K29="No","CURP no existe",IF(COUNTIF($G$3:$G$102,G29)&gt;1,"Empleado repetido","OK")))))))</f>
        <v>Empleado repetido</v>
      </c>
    </row>
    <row r="30" customFormat="false" ht="15" hidden="false" customHeight="false" outlineLevel="0" collapsed="false">
      <c r="A30" s="3" t="n">
        <v>2405</v>
      </c>
      <c r="B30" s="3" t="s">
        <v>182</v>
      </c>
      <c r="C30" s="3" t="s">
        <v>172</v>
      </c>
      <c r="D30" s="3" t="s">
        <v>84</v>
      </c>
      <c r="E30" s="3" t="s">
        <v>183</v>
      </c>
      <c r="F30" s="3" t="s">
        <v>184</v>
      </c>
      <c r="G30" s="3" t="s">
        <v>185</v>
      </c>
      <c r="H30" s="3" t="s">
        <v>186</v>
      </c>
      <c r="I30" s="3" t="s">
        <v>187</v>
      </c>
      <c r="J30" s="3" t="s">
        <v>44</v>
      </c>
      <c r="K30" s="3" t="s">
        <v>28</v>
      </c>
      <c r="L30" s="4" t="str">
        <f aca="false">IF(LEN(G30)&lt;&gt;13,"RFC formato invalido",IF(LEN(H30)&lt;&gt;18,"CURP formato invalido",IF(ISERROR(SEARCH("@",I30)),"Correo invalido",IF(OR(A30="",B30="",C30="",E30="",G30="",H30="",I30=""),"Campo obligatorio vacio",IF(COUNTIF(ListaNegra!$A:$A,G30)&gt;0,"Uno en lista negra",IF(K30="No","CURP no existe",IF(COUNTIF($G$3:$G$102,G30)&gt;1,"Empleado repetido","OK")))))))</f>
        <v>OK</v>
      </c>
    </row>
    <row r="31" customFormat="false" ht="15" hidden="false" customHeight="false" outlineLevel="0" collapsed="false">
      <c r="A31" s="3" t="n">
        <v>2110</v>
      </c>
      <c r="B31" s="3" t="s">
        <v>188</v>
      </c>
      <c r="C31" s="3" t="s">
        <v>122</v>
      </c>
      <c r="D31" s="3" t="s">
        <v>84</v>
      </c>
      <c r="E31" s="3" t="s">
        <v>93</v>
      </c>
      <c r="F31" s="3"/>
      <c r="G31" s="3" t="s">
        <v>189</v>
      </c>
      <c r="H31" s="3" t="s">
        <v>190</v>
      </c>
      <c r="I31" s="3" t="s">
        <v>191</v>
      </c>
      <c r="J31" s="3" t="s">
        <v>81</v>
      </c>
      <c r="K31" s="3" t="s">
        <v>28</v>
      </c>
      <c r="L31" s="4" t="str">
        <f aca="false">IF(LEN(G31)&lt;&gt;13,"RFC formato invalido",IF(LEN(H31)&lt;&gt;18,"CURP formato invalido",IF(ISERROR(SEARCH("@",I31)),"Correo invalido",IF(OR(A31="",B31="",C31="",E31="",G31="",H31="",I31=""),"Campo obligatorio vacio",IF(COUNTIF(ListaNegra!$A:$A,G31)&gt;0,"Uno en lista negra",IF(K31="No","CURP no existe",IF(COUNTIF($G$3:$G$102,G31)&gt;1,"Empleado repetido","OK")))))))</f>
        <v>OK</v>
      </c>
    </row>
    <row r="32" customFormat="false" ht="15" hidden="false" customHeight="false" outlineLevel="0" collapsed="false">
      <c r="A32" s="3" t="n">
        <v>2405</v>
      </c>
      <c r="B32" s="3" t="s">
        <v>192</v>
      </c>
      <c r="C32" s="3" t="s">
        <v>156</v>
      </c>
      <c r="D32" s="3" t="s">
        <v>193</v>
      </c>
      <c r="E32" s="3" t="s">
        <v>167</v>
      </c>
      <c r="F32" s="3" t="s">
        <v>62</v>
      </c>
      <c r="G32" s="3" t="s">
        <v>194</v>
      </c>
      <c r="H32" s="3" t="s">
        <v>195</v>
      </c>
      <c r="I32" s="3" t="s">
        <v>196</v>
      </c>
      <c r="J32" s="3" t="s">
        <v>81</v>
      </c>
      <c r="K32" s="3" t="s">
        <v>28</v>
      </c>
      <c r="L32" s="4" t="str">
        <f aca="false">IF(LEN(G32)&lt;&gt;13,"RFC formato invalido",IF(LEN(H32)&lt;&gt;18,"CURP formato invalido",IF(ISERROR(SEARCH("@",I32)),"Correo invalido",IF(OR(A32="",B32="",C32="",E32="",G32="",H32="",I32=""),"Campo obligatorio vacio",IF(COUNTIF(ListaNegra!$A:$A,G32)&gt;0,"Uno en lista negra",IF(K32="No","CURP no existe",IF(COUNTIF($G$3:$G$102,G32)&gt;1,"Empleado repetido","OK")))))))</f>
        <v>OK</v>
      </c>
    </row>
    <row r="33" customFormat="false" ht="15" hidden="false" customHeight="false" outlineLevel="0" collapsed="false">
      <c r="A33" s="3" t="n">
        <v>2110</v>
      </c>
      <c r="B33" s="3" t="s">
        <v>197</v>
      </c>
      <c r="C33" s="3" t="s">
        <v>84</v>
      </c>
      <c r="D33" s="3" t="s">
        <v>55</v>
      </c>
      <c r="E33" s="3" t="s">
        <v>123</v>
      </c>
      <c r="F33" s="3"/>
      <c r="G33" s="3" t="s">
        <v>198</v>
      </c>
      <c r="H33" s="3" t="s">
        <v>199</v>
      </c>
      <c r="I33" s="3" t="s">
        <v>200</v>
      </c>
      <c r="J33" s="3" t="s">
        <v>102</v>
      </c>
      <c r="K33" s="3" t="s">
        <v>28</v>
      </c>
      <c r="L33" s="4" t="str">
        <f aca="false">IF(LEN(G33)&lt;&gt;13,"RFC formato invalido",IF(LEN(H33)&lt;&gt;18,"CURP formato invalido",IF(ISERROR(SEARCH("@",I33)),"Correo invalido",IF(OR(A33="",B33="",C33="",E33="",G33="",H33="",I33=""),"Campo obligatorio vacio",IF(COUNTIF(ListaNegra!$A:$A,G33)&gt;0,"Uno en lista negra",IF(K33="No","CURP no existe",IF(COUNTIF($G$3:$G$102,G33)&gt;1,"Empleado repetido","OK")))))))</f>
        <v>OK</v>
      </c>
    </row>
    <row r="34" customFormat="false" ht="15" hidden="false" customHeight="false" outlineLevel="0" collapsed="false">
      <c r="A34" s="3" t="n">
        <v>3110</v>
      </c>
      <c r="B34" s="3" t="s">
        <v>201</v>
      </c>
      <c r="C34" s="3" t="s">
        <v>47</v>
      </c>
      <c r="D34" s="3" t="s">
        <v>116</v>
      </c>
      <c r="E34" s="3" t="s">
        <v>202</v>
      </c>
      <c r="F34" s="3" t="s">
        <v>203</v>
      </c>
      <c r="G34" s="3" t="s">
        <v>204</v>
      </c>
      <c r="H34" s="3" t="s">
        <v>205</v>
      </c>
      <c r="I34" s="3" t="s">
        <v>206</v>
      </c>
      <c r="J34" s="3" t="s">
        <v>27</v>
      </c>
      <c r="K34" s="3" t="s">
        <v>28</v>
      </c>
      <c r="L34" s="4" t="str">
        <f aca="false">IF(LEN(G34)&lt;&gt;13,"RFC formato invalido",IF(LEN(H34)&lt;&gt;18,"CURP formato invalido",IF(ISERROR(SEARCH("@",I34)),"Correo invalido",IF(OR(A34="",B34="",C34="",E34="",G34="",H34="",I34=""),"Campo obligatorio vacio",IF(COUNTIF(ListaNegra!$A:$A,G34)&gt;0,"Uno en lista negra",IF(K34="No","CURP no existe",IF(COUNTIF($G$3:$G$102,G34)&gt;1,"Empleado repetido","OK")))))))</f>
        <v>OK</v>
      </c>
    </row>
    <row r="35" customFormat="false" ht="15" hidden="false" customHeight="false" outlineLevel="0" collapsed="false">
      <c r="A35" s="3" t="n">
        <v>2110</v>
      </c>
      <c r="B35" s="3" t="s">
        <v>207</v>
      </c>
      <c r="C35" s="3" t="s">
        <v>110</v>
      </c>
      <c r="D35" s="3" t="s">
        <v>142</v>
      </c>
      <c r="E35" s="3" t="s">
        <v>167</v>
      </c>
      <c r="F35" s="3" t="s">
        <v>56</v>
      </c>
      <c r="G35" s="3" t="s">
        <v>208</v>
      </c>
      <c r="H35" s="3" t="s">
        <v>209</v>
      </c>
      <c r="I35" s="3" t="s">
        <v>210</v>
      </c>
      <c r="J35" s="3" t="s">
        <v>27</v>
      </c>
      <c r="K35" s="3" t="s">
        <v>28</v>
      </c>
      <c r="L35" s="4" t="str">
        <f aca="false">IF(LEN(G35)&lt;&gt;13,"RFC formato invalido",IF(LEN(H35)&lt;&gt;18,"CURP formato invalido",IF(ISERROR(SEARCH("@",I35)),"Correo invalido",IF(OR(A35="",B35="",C35="",E35="",G35="",H35="",I35=""),"Campo obligatorio vacio",IF(COUNTIF(ListaNegra!$A:$A,G35)&gt;0,"Uno en lista negra",IF(K35="No","CURP no existe",IF(COUNTIF($G$3:$G$102,G35)&gt;1,"Empleado repetido","OK")))))))</f>
        <v>OK</v>
      </c>
    </row>
    <row r="36" customFormat="false" ht="15" hidden="false" customHeight="false" outlineLevel="0" collapsed="false">
      <c r="A36" s="3" t="n">
        <v>3110</v>
      </c>
      <c r="B36" s="3" t="s">
        <v>211</v>
      </c>
      <c r="C36" s="3" t="s">
        <v>67</v>
      </c>
      <c r="D36" s="3" t="s">
        <v>74</v>
      </c>
      <c r="E36" s="3" t="s">
        <v>49</v>
      </c>
      <c r="F36" s="3" t="s">
        <v>92</v>
      </c>
      <c r="G36" s="3" t="s">
        <v>212</v>
      </c>
      <c r="H36" s="3" t="s">
        <v>213</v>
      </c>
      <c r="I36" s="3" t="s">
        <v>160</v>
      </c>
      <c r="J36" s="3" t="s">
        <v>36</v>
      </c>
      <c r="K36" s="3" t="s">
        <v>28</v>
      </c>
      <c r="L36" s="4" t="str">
        <f aca="false">IF(LEN(G36)&lt;&gt;13,"RFC formato invalido",IF(LEN(H36)&lt;&gt;18,"CURP formato invalido",IF(ISERROR(SEARCH("@",I36)),"Correo invalido",IF(OR(A36="",B36="",C36="",E36="",G36="",H36="",I36=""),"Campo obligatorio vacio",IF(COUNTIF(ListaNegra!$A:$A,G36)&gt;0,"Uno en lista negra",IF(K36="No","CURP no existe",IF(COUNTIF($G$3:$G$102,G36)&gt;1,"Empleado repetido","OK")))))))</f>
        <v>OK</v>
      </c>
    </row>
    <row r="37" customFormat="false" ht="15" hidden="false" customHeight="false" outlineLevel="0" collapsed="false">
      <c r="A37" s="3" t="n">
        <v>2110</v>
      </c>
      <c r="B37" s="3" t="s">
        <v>214</v>
      </c>
      <c r="C37" s="3" t="s">
        <v>38</v>
      </c>
      <c r="D37" s="3" t="s">
        <v>31</v>
      </c>
      <c r="E37" s="3" t="s">
        <v>40</v>
      </c>
      <c r="F37" s="3" t="s">
        <v>32</v>
      </c>
      <c r="G37" s="3" t="s">
        <v>215</v>
      </c>
      <c r="H37" s="3" t="s">
        <v>216</v>
      </c>
      <c r="I37" s="3" t="s">
        <v>43</v>
      </c>
      <c r="J37" s="3" t="s">
        <v>153</v>
      </c>
      <c r="K37" s="3" t="s">
        <v>28</v>
      </c>
      <c r="L37" s="4" t="str">
        <f aca="false">IF(LEN(G37)&lt;&gt;13,"RFC formato invalido",IF(LEN(H37)&lt;&gt;18,"CURP formato invalido",IF(ISERROR(SEARCH("@",I37)),"Correo invalido",IF(OR(A37="",B37="",C37="",E37="",G37="",H37="",I37=""),"Campo obligatorio vacio",IF(COUNTIF(ListaNegra!$A:$A,G37)&gt;0,"Uno en lista negra",IF(K37="No","CURP no existe",IF(COUNTIF($G$3:$G$102,G37)&gt;1,"Empleado repetido","OK")))))))</f>
        <v>RFC formato invalido</v>
      </c>
    </row>
    <row r="38" customFormat="false" ht="15" hidden="false" customHeight="false" outlineLevel="0" collapsed="false">
      <c r="A38" s="3" t="n">
        <v>2110</v>
      </c>
      <c r="B38" s="3" t="s">
        <v>217</v>
      </c>
      <c r="C38" s="3" t="s">
        <v>46</v>
      </c>
      <c r="D38" s="3" t="s">
        <v>172</v>
      </c>
      <c r="E38" s="3" t="s">
        <v>218</v>
      </c>
      <c r="F38" s="3" t="s">
        <v>184</v>
      </c>
      <c r="G38" s="3" t="s">
        <v>219</v>
      </c>
      <c r="H38" s="3" t="s">
        <v>220</v>
      </c>
      <c r="I38" s="3" t="s">
        <v>221</v>
      </c>
      <c r="J38" s="3" t="s">
        <v>153</v>
      </c>
      <c r="K38" s="3" t="s">
        <v>28</v>
      </c>
      <c r="L38" s="4" t="str">
        <f aca="false">IF(LEN(G38)&lt;&gt;13,"RFC formato invalido",IF(LEN(H38)&lt;&gt;18,"CURP formato invalido",IF(ISERROR(SEARCH("@",I38)),"Correo invalido",IF(OR(A38="",B38="",C38="",E38="",G38="",H38="",I38=""),"Campo obligatorio vacio",IF(COUNTIF(ListaNegra!$A:$A,G38)&gt;0,"Uno en lista negra",IF(K38="No","CURP no existe",IF(COUNTIF($G$3:$G$102,G38)&gt;1,"Empleado repetido","OK")))))))</f>
        <v>OK</v>
      </c>
    </row>
    <row r="39" customFormat="false" ht="15" hidden="false" customHeight="false" outlineLevel="0" collapsed="false">
      <c r="A39" s="3" t="n">
        <v>2110</v>
      </c>
      <c r="B39" s="3" t="s">
        <v>222</v>
      </c>
      <c r="C39" s="3" t="s">
        <v>39</v>
      </c>
      <c r="D39" s="3" t="s">
        <v>75</v>
      </c>
      <c r="E39" s="3" t="s">
        <v>184</v>
      </c>
      <c r="F39" s="3" t="s">
        <v>23</v>
      </c>
      <c r="G39" s="3" t="s">
        <v>223</v>
      </c>
      <c r="H39" s="3" t="s">
        <v>224</v>
      </c>
      <c r="I39" s="3" t="s">
        <v>225</v>
      </c>
      <c r="J39" s="3" t="s">
        <v>102</v>
      </c>
      <c r="K39" s="3" t="s">
        <v>28</v>
      </c>
      <c r="L39" s="4" t="str">
        <f aca="false">IF(LEN(G39)&lt;&gt;13,"RFC formato invalido",IF(LEN(H39)&lt;&gt;18,"CURP formato invalido",IF(ISERROR(SEARCH("@",I39)),"Correo invalido",IF(OR(A39="",B39="",C39="",E39="",G39="",H39="",I39=""),"Campo obligatorio vacio",IF(COUNTIF(ListaNegra!$A:$A,G39)&gt;0,"Uno en lista negra",IF(K39="No","CURP no existe",IF(COUNTIF($G$3:$G$102,G39)&gt;1,"Empleado repetido","OK")))))))</f>
        <v>OK</v>
      </c>
    </row>
    <row r="40" customFormat="false" ht="15" hidden="false" customHeight="false" outlineLevel="0" collapsed="false">
      <c r="A40" s="3" t="n">
        <v>3110</v>
      </c>
      <c r="B40" s="3" t="s">
        <v>226</v>
      </c>
      <c r="C40" s="3" t="s">
        <v>149</v>
      </c>
      <c r="D40" s="3" t="s">
        <v>47</v>
      </c>
      <c r="E40" s="3" t="s">
        <v>227</v>
      </c>
      <c r="F40" s="3"/>
      <c r="G40" s="3" t="s">
        <v>228</v>
      </c>
      <c r="H40" s="3" t="s">
        <v>229</v>
      </c>
      <c r="I40" s="3" t="s">
        <v>230</v>
      </c>
      <c r="J40" s="3" t="s">
        <v>27</v>
      </c>
      <c r="K40" s="3" t="s">
        <v>28</v>
      </c>
      <c r="L40" s="4" t="str">
        <f aca="false">IF(LEN(G40)&lt;&gt;13,"RFC formato invalido",IF(LEN(H40)&lt;&gt;18,"CURP formato invalido",IF(ISERROR(SEARCH("@",I40)),"Correo invalido",IF(OR(A40="",B40="",C40="",E40="",G40="",H40="",I40=""),"Campo obligatorio vacio",IF(COUNTIF(ListaNegra!$A:$A,G40)&gt;0,"Uno en lista negra",IF(K40="No","CURP no existe",IF(COUNTIF($G$3:$G$102,G40)&gt;1,"Empleado repetido","OK")))))))</f>
        <v>CURP formato invalido</v>
      </c>
    </row>
    <row r="41" customFormat="false" ht="15" hidden="false" customHeight="false" outlineLevel="0" collapsed="false">
      <c r="A41" s="3" t="n">
        <v>2405</v>
      </c>
      <c r="B41" s="3" t="s">
        <v>231</v>
      </c>
      <c r="C41" s="3" t="s">
        <v>68</v>
      </c>
      <c r="D41" s="3" t="s">
        <v>149</v>
      </c>
      <c r="E41" s="3" t="s">
        <v>76</v>
      </c>
      <c r="F41" s="3"/>
      <c r="G41" s="3" t="s">
        <v>232</v>
      </c>
      <c r="H41" s="3" t="s">
        <v>233</v>
      </c>
      <c r="I41" s="3" t="s">
        <v>234</v>
      </c>
      <c r="J41" s="3" t="s">
        <v>53</v>
      </c>
      <c r="K41" s="3" t="s">
        <v>28</v>
      </c>
      <c r="L41" s="4" t="str">
        <f aca="false">IF(LEN(G41)&lt;&gt;13,"RFC formato invalido",IF(LEN(H41)&lt;&gt;18,"CURP formato invalido",IF(ISERROR(SEARCH("@",I41)),"Correo invalido",IF(OR(A41="",B41="",C41="",E41="",G41="",H41="",I41=""),"Campo obligatorio vacio",IF(COUNTIF(ListaNegra!$A:$A,G41)&gt;0,"Uno en lista negra",IF(K41="No","CURP no existe",IF(COUNTIF($G$3:$G$102,G41)&gt;1,"Empleado repetido","OK")))))))</f>
        <v>Correo invalido</v>
      </c>
    </row>
    <row r="42" customFormat="false" ht="15" hidden="false" customHeight="false" outlineLevel="0" collapsed="false">
      <c r="A42" s="3" t="n">
        <v>3110</v>
      </c>
      <c r="B42" s="3" t="s">
        <v>235</v>
      </c>
      <c r="C42" s="3" t="s">
        <v>98</v>
      </c>
      <c r="D42" s="3" t="s">
        <v>236</v>
      </c>
      <c r="E42" s="3" t="s">
        <v>173</v>
      </c>
      <c r="F42" s="3" t="s">
        <v>62</v>
      </c>
      <c r="G42" s="3" t="s">
        <v>237</v>
      </c>
      <c r="H42" s="3" t="s">
        <v>238</v>
      </c>
      <c r="I42" s="3" t="s">
        <v>239</v>
      </c>
      <c r="J42" s="3" t="s">
        <v>44</v>
      </c>
      <c r="K42" s="3" t="s">
        <v>28</v>
      </c>
      <c r="L42" s="4" t="str">
        <f aca="false">IF(LEN(G42)&lt;&gt;13,"RFC formato invalido",IF(LEN(H42)&lt;&gt;18,"CURP formato invalido",IF(ISERROR(SEARCH("@",I42)),"Correo invalido",IF(OR(A42="",B42="",C42="",E42="",G42="",H42="",I42=""),"Campo obligatorio vacio",IF(COUNTIF(ListaNegra!$A:$A,G42)&gt;0,"Uno en lista negra",IF(K42="No","CURP no existe",IF(COUNTIF($G$3:$G$102,G42)&gt;1,"Empleado repetido","OK")))))))</f>
        <v>OK</v>
      </c>
    </row>
    <row r="43" customFormat="false" ht="15" hidden="false" customHeight="false" outlineLevel="0" collapsed="false">
      <c r="A43" s="3" t="n">
        <v>2110</v>
      </c>
      <c r="B43" s="3" t="s">
        <v>240</v>
      </c>
      <c r="C43" s="3" t="s">
        <v>22</v>
      </c>
      <c r="D43" s="3" t="s">
        <v>67</v>
      </c>
      <c r="E43" s="3" t="s">
        <v>241</v>
      </c>
      <c r="F43" s="3" t="s">
        <v>218</v>
      </c>
      <c r="G43" s="3" t="s">
        <v>242</v>
      </c>
      <c r="H43" s="3" t="s">
        <v>243</v>
      </c>
      <c r="I43" s="3" t="s">
        <v>244</v>
      </c>
      <c r="J43" s="3" t="s">
        <v>60</v>
      </c>
      <c r="K43" s="3" t="s">
        <v>28</v>
      </c>
      <c r="L43" s="4" t="str">
        <f aca="false">IF(LEN(G43)&lt;&gt;13,"RFC formato invalido",IF(LEN(H43)&lt;&gt;18,"CURP formato invalido",IF(ISERROR(SEARCH("@",I43)),"Correo invalido",IF(OR(A43="",B43="",C43="",E43="",G43="",H43="",I43=""),"Campo obligatorio vacio",IF(COUNTIF(ListaNegra!$A:$A,G43)&gt;0,"Uno en lista negra",IF(K43="No","CURP no existe",IF(COUNTIF($G$3:$G$102,G43)&gt;1,"Empleado repetido","OK")))))))</f>
        <v>OK</v>
      </c>
    </row>
    <row r="44" customFormat="false" ht="15" hidden="false" customHeight="false" outlineLevel="0" collapsed="false">
      <c r="A44" s="3" t="n">
        <v>2110</v>
      </c>
      <c r="B44" s="3" t="s">
        <v>245</v>
      </c>
      <c r="C44" s="3" t="s">
        <v>55</v>
      </c>
      <c r="D44" s="3" t="s">
        <v>31</v>
      </c>
      <c r="E44" s="3" t="s">
        <v>105</v>
      </c>
      <c r="F44" s="3" t="s">
        <v>173</v>
      </c>
      <c r="G44" s="3" t="s">
        <v>246</v>
      </c>
      <c r="H44" s="3" t="s">
        <v>247</v>
      </c>
      <c r="I44" s="3" t="s">
        <v>248</v>
      </c>
      <c r="J44" s="3" t="s">
        <v>60</v>
      </c>
      <c r="K44" s="3" t="s">
        <v>28</v>
      </c>
      <c r="L44" s="4" t="str">
        <f aca="false">IF(LEN(G44)&lt;&gt;13,"RFC formato invalido",IF(LEN(H44)&lt;&gt;18,"CURP formato invalido",IF(ISERROR(SEARCH("@",I44)),"Correo invalido",IF(OR(A44="",B44="",C44="",E44="",G44="",H44="",I44=""),"Campo obligatorio vacio",IF(COUNTIF(ListaNegra!$A:$A,G44)&gt;0,"Uno en lista negra",IF(K44="No","CURP no existe",IF(COUNTIF($G$3:$G$102,G44)&gt;1,"Empleado repetido","OK")))))))</f>
        <v>OK</v>
      </c>
    </row>
    <row r="45" customFormat="false" ht="15" hidden="false" customHeight="false" outlineLevel="0" collapsed="false">
      <c r="A45" s="3" t="n">
        <v>3110</v>
      </c>
      <c r="B45" s="3" t="s">
        <v>249</v>
      </c>
      <c r="C45" s="3" t="s">
        <v>31</v>
      </c>
      <c r="D45" s="3" t="s">
        <v>30</v>
      </c>
      <c r="E45" s="3" t="s">
        <v>218</v>
      </c>
      <c r="F45" s="3" t="s">
        <v>32</v>
      </c>
      <c r="G45" s="3" t="s">
        <v>250</v>
      </c>
      <c r="H45" s="3" t="s">
        <v>251</v>
      </c>
      <c r="I45" s="3" t="s">
        <v>252</v>
      </c>
      <c r="J45" s="3" t="s">
        <v>81</v>
      </c>
      <c r="K45" s="3" t="s">
        <v>28</v>
      </c>
      <c r="L45" s="4" t="str">
        <f aca="false">IF(LEN(G45)&lt;&gt;13,"RFC formato invalido",IF(LEN(H45)&lt;&gt;18,"CURP formato invalido",IF(ISERROR(SEARCH("@",I45)),"Correo invalido",IF(OR(A45="",B45="",C45="",E45="",G45="",H45="",I45=""),"Campo obligatorio vacio",IF(COUNTIF(ListaNegra!$A:$A,G45)&gt;0,"Uno en lista negra",IF(K45="No","CURP no existe",IF(COUNTIF($G$3:$G$102,G45)&gt;1,"Empleado repetido","OK")))))))</f>
        <v>OK</v>
      </c>
    </row>
    <row r="46" customFormat="false" ht="15" hidden="false" customHeight="false" outlineLevel="0" collapsed="false">
      <c r="A46" s="3" t="n">
        <v>3110</v>
      </c>
      <c r="B46" s="3" t="s">
        <v>253</v>
      </c>
      <c r="C46" s="3" t="s">
        <v>75</v>
      </c>
      <c r="D46" s="3" t="s">
        <v>172</v>
      </c>
      <c r="E46" s="3" t="s">
        <v>93</v>
      </c>
      <c r="F46" s="3"/>
      <c r="G46" s="3" t="s">
        <v>254</v>
      </c>
      <c r="H46" s="3" t="s">
        <v>255</v>
      </c>
      <c r="I46" s="3" t="s">
        <v>256</v>
      </c>
      <c r="J46" s="3" t="s">
        <v>60</v>
      </c>
      <c r="K46" s="3" t="s">
        <v>28</v>
      </c>
      <c r="L46" s="4" t="str">
        <f aca="false">IF(LEN(G46)&lt;&gt;13,"RFC formato invalido",IF(LEN(H46)&lt;&gt;18,"CURP formato invalido",IF(ISERROR(SEARCH("@",I46)),"Correo invalido",IF(OR(A46="",B46="",C46="",E46="",G46="",H46="",I46=""),"Campo obligatorio vacio",IF(COUNTIF(ListaNegra!$A:$A,G46)&gt;0,"Uno en lista negra",IF(K46="No","CURP no existe",IF(COUNTIF($G$3:$G$102,G46)&gt;1,"Empleado repetido","OK")))))))</f>
        <v>OK</v>
      </c>
    </row>
    <row r="47" customFormat="false" ht="15" hidden="false" customHeight="false" outlineLevel="0" collapsed="false">
      <c r="A47" s="3" t="n">
        <v>2110</v>
      </c>
      <c r="B47" s="3" t="s">
        <v>257</v>
      </c>
      <c r="C47" s="3"/>
      <c r="D47" s="3" t="s">
        <v>172</v>
      </c>
      <c r="E47" s="3" t="s">
        <v>167</v>
      </c>
      <c r="F47" s="3" t="s">
        <v>202</v>
      </c>
      <c r="G47" s="3" t="s">
        <v>258</v>
      </c>
      <c r="H47" s="3" t="s">
        <v>259</v>
      </c>
      <c r="I47" s="3" t="s">
        <v>260</v>
      </c>
      <c r="J47" s="3" t="s">
        <v>153</v>
      </c>
      <c r="K47" s="3" t="s">
        <v>28</v>
      </c>
      <c r="L47" s="4" t="str">
        <f aca="false">IF(LEN(G47)&lt;&gt;13,"RFC formato invalido",IF(LEN(H47)&lt;&gt;18,"CURP formato invalido",IF(ISERROR(SEARCH("@",I47)),"Correo invalido",IF(OR(A47="",B47="",C47="",E47="",G47="",H47="",I47=""),"Campo obligatorio vacio",IF(COUNTIF(ListaNegra!$A:$A,G47)&gt;0,"Uno en lista negra",IF(K47="No","CURP no existe",IF(COUNTIF($G$3:$G$102,G47)&gt;1,"Empleado repetido","OK")))))))</f>
        <v>Campo obligatorio vacio</v>
      </c>
    </row>
    <row r="48" customFormat="false" ht="15" hidden="false" customHeight="false" outlineLevel="0" collapsed="false">
      <c r="A48" s="3" t="n">
        <v>2110</v>
      </c>
      <c r="B48" s="3" t="s">
        <v>261</v>
      </c>
      <c r="C48" s="3" t="s">
        <v>122</v>
      </c>
      <c r="D48" s="3" t="s">
        <v>31</v>
      </c>
      <c r="E48" s="3" t="s">
        <v>32</v>
      </c>
      <c r="F48" s="3" t="s">
        <v>167</v>
      </c>
      <c r="G48" s="3" t="s">
        <v>262</v>
      </c>
      <c r="H48" s="3" t="s">
        <v>263</v>
      </c>
      <c r="I48" s="3" t="s">
        <v>264</v>
      </c>
      <c r="J48" s="3" t="s">
        <v>53</v>
      </c>
      <c r="K48" s="3" t="s">
        <v>28</v>
      </c>
      <c r="L48" s="4" t="str">
        <f aca="false">IF(LEN(G48)&lt;&gt;13,"RFC formato invalido",IF(LEN(H48)&lt;&gt;18,"CURP formato invalido",IF(ISERROR(SEARCH("@",I48)),"Correo invalido",IF(OR(A48="",B48="",C48="",E48="",G48="",H48="",I48=""),"Campo obligatorio vacio",IF(COUNTIF(ListaNegra!$A:$A,G48)&gt;0,"Uno en lista negra",IF(K48="No","CURP no existe",IF(COUNTIF($G$3:$G$102,G48)&gt;1,"Empleado repetido","OK")))))))</f>
        <v>OK</v>
      </c>
    </row>
    <row r="49" customFormat="false" ht="15" hidden="false" customHeight="false" outlineLevel="0" collapsed="false">
      <c r="A49" s="3" t="n">
        <v>2405</v>
      </c>
      <c r="B49" s="3" t="s">
        <v>265</v>
      </c>
      <c r="C49" s="3" t="s">
        <v>172</v>
      </c>
      <c r="D49" s="3" t="s">
        <v>104</v>
      </c>
      <c r="E49" s="3" t="s">
        <v>86</v>
      </c>
      <c r="F49" s="3" t="s">
        <v>184</v>
      </c>
      <c r="G49" s="3" t="s">
        <v>266</v>
      </c>
      <c r="H49" s="3" t="s">
        <v>267</v>
      </c>
      <c r="I49" s="3" t="s">
        <v>268</v>
      </c>
      <c r="J49" s="3" t="s">
        <v>53</v>
      </c>
      <c r="K49" s="3" t="s">
        <v>28</v>
      </c>
      <c r="L49" s="4" t="str">
        <f aca="false">IF(LEN(G49)&lt;&gt;13,"RFC formato invalido",IF(LEN(H49)&lt;&gt;18,"CURP formato invalido",IF(ISERROR(SEARCH("@",I49)),"Correo invalido",IF(OR(A49="",B49="",C49="",E49="",G49="",H49="",I49=""),"Campo obligatorio vacio",IF(COUNTIF(ListaNegra!$A:$A,G49)&gt;0,"Uno en lista negra",IF(K49="No","CURP no existe",IF(COUNTIF($G$3:$G$102,G49)&gt;1,"Empleado repetido","OK")))))))</f>
        <v>OK</v>
      </c>
    </row>
    <row r="50" customFormat="false" ht="15" hidden="false" customHeight="false" outlineLevel="0" collapsed="false">
      <c r="A50" s="3" t="n">
        <v>2110</v>
      </c>
      <c r="B50" s="3" t="s">
        <v>269</v>
      </c>
      <c r="C50" s="3" t="s">
        <v>55</v>
      </c>
      <c r="D50" s="3" t="s">
        <v>74</v>
      </c>
      <c r="E50" s="3" t="s">
        <v>92</v>
      </c>
      <c r="F50" s="3" t="s">
        <v>138</v>
      </c>
      <c r="G50" s="3" t="s">
        <v>270</v>
      </c>
      <c r="H50" s="3" t="s">
        <v>271</v>
      </c>
      <c r="I50" s="3" t="s">
        <v>272</v>
      </c>
      <c r="J50" s="3" t="s">
        <v>44</v>
      </c>
      <c r="K50" s="3" t="s">
        <v>28</v>
      </c>
      <c r="L50" s="4" t="str">
        <f aca="false">IF(LEN(G50)&lt;&gt;13,"RFC formato invalido",IF(LEN(H50)&lt;&gt;18,"CURP formato invalido",IF(ISERROR(SEARCH("@",I50)),"Correo invalido",IF(OR(A50="",B50="",C50="",E50="",G50="",H50="",I50=""),"Campo obligatorio vacio",IF(COUNTIF(ListaNegra!$A:$A,G50)&gt;0,"Uno en lista negra",IF(K50="No","CURP no existe",IF(COUNTIF($G$3:$G$102,G50)&gt;1,"Empleado repetido","OK")))))))</f>
        <v>OK</v>
      </c>
    </row>
    <row r="51" customFormat="false" ht="15" hidden="false" customHeight="false" outlineLevel="0" collapsed="false">
      <c r="A51" s="3" t="n">
        <v>2110</v>
      </c>
      <c r="B51" s="3" t="s">
        <v>273</v>
      </c>
      <c r="C51" s="3"/>
      <c r="D51" s="3" t="s">
        <v>98</v>
      </c>
      <c r="E51" s="3" t="s">
        <v>203</v>
      </c>
      <c r="F51" s="3"/>
      <c r="G51" s="3" t="s">
        <v>274</v>
      </c>
      <c r="H51" s="3" t="s">
        <v>275</v>
      </c>
      <c r="I51" s="3" t="s">
        <v>276</v>
      </c>
      <c r="J51" s="3" t="s">
        <v>53</v>
      </c>
      <c r="K51" s="3" t="s">
        <v>28</v>
      </c>
      <c r="L51" s="4" t="str">
        <f aca="false">IF(LEN(G51)&lt;&gt;13,"RFC formato invalido",IF(LEN(H51)&lt;&gt;18,"CURP formato invalido",IF(ISERROR(SEARCH("@",I51)),"Correo invalido",IF(OR(A51="",B51="",C51="",E51="",G51="",H51="",I51=""),"Campo obligatorio vacio",IF(COUNTIF(ListaNegra!$A:$A,G51)&gt;0,"Uno en lista negra",IF(K51="No","CURP no existe",IF(COUNTIF($G$3:$G$102,G51)&gt;1,"Empleado repetido","OK")))))))</f>
        <v>Campo obligatorio vacio</v>
      </c>
    </row>
    <row r="52" customFormat="false" ht="15" hidden="false" customHeight="false" outlineLevel="0" collapsed="false">
      <c r="A52" s="3" t="n">
        <v>2110</v>
      </c>
      <c r="B52" s="3" t="s">
        <v>277</v>
      </c>
      <c r="C52" s="3" t="s">
        <v>46</v>
      </c>
      <c r="D52" s="3" t="s">
        <v>149</v>
      </c>
      <c r="E52" s="3" t="s">
        <v>56</v>
      </c>
      <c r="F52" s="3" t="s">
        <v>143</v>
      </c>
      <c r="G52" s="3" t="s">
        <v>278</v>
      </c>
      <c r="H52" s="3" t="s">
        <v>279</v>
      </c>
      <c r="I52" s="3" t="s">
        <v>280</v>
      </c>
      <c r="J52" s="3" t="s">
        <v>81</v>
      </c>
      <c r="K52" s="3" t="s">
        <v>28</v>
      </c>
      <c r="L52" s="4" t="str">
        <f aca="false">IF(LEN(G52)&lt;&gt;13,"RFC formato invalido",IF(LEN(H52)&lt;&gt;18,"CURP formato invalido",IF(ISERROR(SEARCH("@",I52)),"Correo invalido",IF(OR(A52="",B52="",C52="",E52="",G52="",H52="",I52=""),"Campo obligatorio vacio",IF(COUNTIF(ListaNegra!$A:$A,G52)&gt;0,"Uno en lista negra",IF(K52="No","CURP no existe",IF(COUNTIF($G$3:$G$102,G52)&gt;1,"Empleado repetido","OK")))))))</f>
        <v>OK</v>
      </c>
    </row>
    <row r="53" customFormat="false" ht="15" hidden="false" customHeight="false" outlineLevel="0" collapsed="false">
      <c r="A53" s="3" t="n">
        <v>2110</v>
      </c>
      <c r="B53" s="3" t="s">
        <v>281</v>
      </c>
      <c r="C53" s="3" t="s">
        <v>149</v>
      </c>
      <c r="D53" s="3" t="s">
        <v>142</v>
      </c>
      <c r="E53" s="3" t="s">
        <v>23</v>
      </c>
      <c r="F53" s="3" t="s">
        <v>173</v>
      </c>
      <c r="G53" s="3" t="s">
        <v>282</v>
      </c>
      <c r="H53" s="3" t="s">
        <v>283</v>
      </c>
      <c r="I53" s="3" t="s">
        <v>284</v>
      </c>
      <c r="J53" s="3" t="s">
        <v>53</v>
      </c>
      <c r="K53" s="3" t="s">
        <v>28</v>
      </c>
      <c r="L53" s="4" t="str">
        <f aca="false">IF(LEN(G53)&lt;&gt;13,"RFC formato invalido",IF(LEN(H53)&lt;&gt;18,"CURP formato invalido",IF(ISERROR(SEARCH("@",I53)),"Correo invalido",IF(OR(A53="",B53="",C53="",E53="",G53="",H53="",I53=""),"Campo obligatorio vacio",IF(COUNTIF(ListaNegra!$A:$A,G53)&gt;0,"Uno en lista negra",IF(K53="No","CURP no existe",IF(COUNTIF($G$3:$G$102,G53)&gt;1,"Empleado repetido","OK")))))))</f>
        <v>CURP formato invalido</v>
      </c>
    </row>
    <row r="54" customFormat="false" ht="15" hidden="false" customHeight="false" outlineLevel="0" collapsed="false">
      <c r="A54" s="3" t="n">
        <v>2110</v>
      </c>
      <c r="B54" s="3" t="s">
        <v>285</v>
      </c>
      <c r="C54" s="3" t="s">
        <v>21</v>
      </c>
      <c r="D54" s="3" t="s">
        <v>46</v>
      </c>
      <c r="E54" s="3" t="s">
        <v>77</v>
      </c>
      <c r="F54" s="3"/>
      <c r="G54" s="3" t="s">
        <v>286</v>
      </c>
      <c r="H54" s="3" t="s">
        <v>287</v>
      </c>
      <c r="I54" s="3" t="s">
        <v>288</v>
      </c>
      <c r="J54" s="3" t="s">
        <v>36</v>
      </c>
      <c r="K54" s="3" t="s">
        <v>28</v>
      </c>
      <c r="L54" s="4" t="str">
        <f aca="false">IF(LEN(G54)&lt;&gt;13,"RFC formato invalido",IF(LEN(H54)&lt;&gt;18,"CURP formato invalido",IF(ISERROR(SEARCH("@",I54)),"Correo invalido",IF(OR(A54="",B54="",C54="",E54="",G54="",H54="",I54=""),"Campo obligatorio vacio",IF(COUNTIF(ListaNegra!$A:$A,G54)&gt;0,"Uno en lista negra",IF(K54="No","CURP no existe",IF(COUNTIF($G$3:$G$102,G54)&gt;1,"Empleado repetido","OK")))))))</f>
        <v>OK</v>
      </c>
    </row>
    <row r="55" customFormat="false" ht="15" hidden="false" customHeight="false" outlineLevel="0" collapsed="false">
      <c r="A55" s="3" t="n">
        <v>3110</v>
      </c>
      <c r="B55" s="3" t="s">
        <v>289</v>
      </c>
      <c r="C55" s="3" t="s">
        <v>30</v>
      </c>
      <c r="D55" s="3" t="s">
        <v>75</v>
      </c>
      <c r="E55" s="3" t="s">
        <v>69</v>
      </c>
      <c r="F55" s="3" t="s">
        <v>105</v>
      </c>
      <c r="G55" s="3" t="s">
        <v>290</v>
      </c>
      <c r="H55" s="3" t="s">
        <v>291</v>
      </c>
      <c r="I55" s="3" t="s">
        <v>292</v>
      </c>
      <c r="J55" s="3" t="s">
        <v>53</v>
      </c>
      <c r="K55" s="3" t="s">
        <v>28</v>
      </c>
      <c r="L55" s="4" t="str">
        <f aca="false">IF(LEN(G55)&lt;&gt;13,"RFC formato invalido",IF(LEN(H55)&lt;&gt;18,"CURP formato invalido",IF(ISERROR(SEARCH("@",I55)),"Correo invalido",IF(OR(A55="",B55="",C55="",E55="",G55="",H55="",I55=""),"Campo obligatorio vacio",IF(COUNTIF(ListaNegra!$A:$A,G55)&gt;0,"Uno en lista negra",IF(K55="No","CURP no existe",IF(COUNTIF($G$3:$G$102,G55)&gt;1,"Empleado repetido","OK")))))))</f>
        <v>CURP formato invalido</v>
      </c>
    </row>
    <row r="56" customFormat="false" ht="15" hidden="false" customHeight="false" outlineLevel="0" collapsed="false">
      <c r="A56" s="3" t="n">
        <v>3110</v>
      </c>
      <c r="B56" s="3" t="s">
        <v>293</v>
      </c>
      <c r="C56" s="3" t="s">
        <v>110</v>
      </c>
      <c r="D56" s="3" t="s">
        <v>122</v>
      </c>
      <c r="E56" s="3" t="s">
        <v>76</v>
      </c>
      <c r="F56" s="3" t="s">
        <v>85</v>
      </c>
      <c r="G56" s="3" t="s">
        <v>294</v>
      </c>
      <c r="H56" s="3" t="s">
        <v>295</v>
      </c>
      <c r="I56" s="3" t="s">
        <v>296</v>
      </c>
      <c r="J56" s="3" t="s">
        <v>60</v>
      </c>
      <c r="K56" s="3" t="s">
        <v>28</v>
      </c>
      <c r="L56" s="4" t="str">
        <f aca="false">IF(LEN(G56)&lt;&gt;13,"RFC formato invalido",IF(LEN(H56)&lt;&gt;18,"CURP formato invalido",IF(ISERROR(SEARCH("@",I56)),"Correo invalido",IF(OR(A56="",B56="",C56="",E56="",G56="",H56="",I56=""),"Campo obligatorio vacio",IF(COUNTIF(ListaNegra!$A:$A,G56)&gt;0,"Uno en lista negra",IF(K56="No","CURP no existe",IF(COUNTIF($G$3:$G$102,G56)&gt;1,"Empleado repetido","OK")))))))</f>
        <v>OK</v>
      </c>
    </row>
    <row r="57" customFormat="false" ht="15" hidden="false" customHeight="false" outlineLevel="0" collapsed="false">
      <c r="A57" s="3" t="n">
        <v>2110</v>
      </c>
      <c r="B57" s="3" t="s">
        <v>297</v>
      </c>
      <c r="C57" s="3" t="s">
        <v>39</v>
      </c>
      <c r="D57" s="3" t="s">
        <v>31</v>
      </c>
      <c r="E57" s="3" t="s">
        <v>69</v>
      </c>
      <c r="F57" s="3" t="s">
        <v>77</v>
      </c>
      <c r="G57" s="3" t="s">
        <v>298</v>
      </c>
      <c r="H57" s="3" t="s">
        <v>299</v>
      </c>
      <c r="I57" s="3" t="s">
        <v>300</v>
      </c>
      <c r="J57" s="3" t="s">
        <v>102</v>
      </c>
      <c r="K57" s="3" t="s">
        <v>28</v>
      </c>
      <c r="L57" s="4" t="str">
        <f aca="false">IF(LEN(G57)&lt;&gt;13,"RFC formato invalido",IF(LEN(H57)&lt;&gt;18,"CURP formato invalido",IF(ISERROR(SEARCH("@",I57)),"Correo invalido",IF(OR(A57="",B57="",C57="",E57="",G57="",H57="",I57=""),"Campo obligatorio vacio",IF(COUNTIF(ListaNegra!$A:$A,G57)&gt;0,"Uno en lista negra",IF(K57="No","CURP no existe",IF(COUNTIF($G$3:$G$102,G57)&gt;1,"Empleado repetido","OK")))))))</f>
        <v>CURP formato invalido</v>
      </c>
    </row>
    <row r="58" customFormat="false" ht="15" hidden="false" customHeight="false" outlineLevel="0" collapsed="false">
      <c r="A58" s="3" t="n">
        <v>3110</v>
      </c>
      <c r="B58" s="3" t="s">
        <v>301</v>
      </c>
      <c r="C58" s="3" t="s">
        <v>149</v>
      </c>
      <c r="D58" s="3" t="s">
        <v>55</v>
      </c>
      <c r="E58" s="3" t="s">
        <v>203</v>
      </c>
      <c r="F58" s="3" t="s">
        <v>202</v>
      </c>
      <c r="G58" s="3" t="s">
        <v>302</v>
      </c>
      <c r="H58" s="3" t="s">
        <v>303</v>
      </c>
      <c r="I58" s="3" t="s">
        <v>304</v>
      </c>
      <c r="J58" s="3" t="s">
        <v>53</v>
      </c>
      <c r="K58" s="3" t="s">
        <v>28</v>
      </c>
      <c r="L58" s="4" t="str">
        <f aca="false">IF(LEN(G58)&lt;&gt;13,"RFC formato invalido",IF(LEN(H58)&lt;&gt;18,"CURP formato invalido",IF(ISERROR(SEARCH("@",I58)),"Correo invalido",IF(OR(A58="",B58="",C58="",E58="",G58="",H58="",I58=""),"Campo obligatorio vacio",IF(COUNTIF(ListaNegra!$A:$A,G58)&gt;0,"Uno en lista negra",IF(K58="No","CURP no existe",IF(COUNTIF($G$3:$G$102,G58)&gt;1,"Empleado repetido","OK")))))))</f>
        <v>OK</v>
      </c>
    </row>
    <row r="59" customFormat="false" ht="15" hidden="false" customHeight="false" outlineLevel="0" collapsed="false">
      <c r="A59" s="3" t="n">
        <v>2110</v>
      </c>
      <c r="B59" s="3" t="s">
        <v>305</v>
      </c>
      <c r="C59" s="3"/>
      <c r="D59" s="3" t="s">
        <v>83</v>
      </c>
      <c r="E59" s="3" t="s">
        <v>241</v>
      </c>
      <c r="F59" s="3" t="s">
        <v>69</v>
      </c>
      <c r="G59" s="3" t="s">
        <v>306</v>
      </c>
      <c r="H59" s="3" t="s">
        <v>307</v>
      </c>
      <c r="I59" s="3" t="s">
        <v>308</v>
      </c>
      <c r="J59" s="3" t="s">
        <v>102</v>
      </c>
      <c r="K59" s="3" t="s">
        <v>28</v>
      </c>
      <c r="L59" s="4" t="str">
        <f aca="false">IF(LEN(G59)&lt;&gt;13,"RFC formato invalido",IF(LEN(H59)&lt;&gt;18,"CURP formato invalido",IF(ISERROR(SEARCH("@",I59)),"Correo invalido",IF(OR(A59="",B59="",C59="",E59="",G59="",H59="",I59=""),"Campo obligatorio vacio",IF(COUNTIF(ListaNegra!$A:$A,G59)&gt;0,"Uno en lista negra",IF(K59="No","CURP no existe",IF(COUNTIF($G$3:$G$102,G59)&gt;1,"Empleado repetido","OK")))))))</f>
        <v>Campo obligatorio vacio</v>
      </c>
    </row>
    <row r="60" customFormat="false" ht="15" hidden="false" customHeight="false" outlineLevel="0" collapsed="false">
      <c r="A60" s="3" t="n">
        <v>2405</v>
      </c>
      <c r="B60" s="3" t="s">
        <v>309</v>
      </c>
      <c r="C60" s="3" t="s">
        <v>122</v>
      </c>
      <c r="D60" s="3" t="s">
        <v>68</v>
      </c>
      <c r="E60" s="3" t="s">
        <v>241</v>
      </c>
      <c r="F60" s="3" t="s">
        <v>40</v>
      </c>
      <c r="G60" s="3" t="s">
        <v>310</v>
      </c>
      <c r="H60" s="3" t="s">
        <v>311</v>
      </c>
      <c r="I60" s="3" t="s">
        <v>312</v>
      </c>
      <c r="J60" s="3" t="s">
        <v>36</v>
      </c>
      <c r="K60" s="3" t="s">
        <v>28</v>
      </c>
      <c r="L60" s="4" t="str">
        <f aca="false">IF(LEN(G60)&lt;&gt;13,"RFC formato invalido",IF(LEN(H60)&lt;&gt;18,"CURP formato invalido",IF(ISERROR(SEARCH("@",I60)),"Correo invalido",IF(OR(A60="",B60="",C60="",E60="",G60="",H60="",I60=""),"Campo obligatorio vacio",IF(COUNTIF(ListaNegra!$A:$A,G60)&gt;0,"Uno en lista negra",IF(K60="No","CURP no existe",IF(COUNTIF($G$3:$G$102,G60)&gt;1,"Empleado repetido","OK")))))))</f>
        <v>OK</v>
      </c>
    </row>
    <row r="61" customFormat="false" ht="15" hidden="false" customHeight="false" outlineLevel="0" collapsed="false">
      <c r="A61" s="3" t="n">
        <v>2110</v>
      </c>
      <c r="B61" s="3" t="s">
        <v>313</v>
      </c>
      <c r="C61" s="3" t="s">
        <v>47</v>
      </c>
      <c r="D61" s="3" t="s">
        <v>91</v>
      </c>
      <c r="E61" s="3" t="s">
        <v>138</v>
      </c>
      <c r="F61" s="3" t="s">
        <v>123</v>
      </c>
      <c r="G61" s="3" t="s">
        <v>314</v>
      </c>
      <c r="H61" s="3" t="s">
        <v>315</v>
      </c>
      <c r="I61" s="3" t="s">
        <v>316</v>
      </c>
      <c r="J61" s="3" t="s">
        <v>27</v>
      </c>
      <c r="K61" s="3" t="s">
        <v>28</v>
      </c>
      <c r="L61" s="4" t="str">
        <f aca="false">IF(LEN(G61)&lt;&gt;13,"RFC formato invalido",IF(LEN(H61)&lt;&gt;18,"CURP formato invalido",IF(ISERROR(SEARCH("@",I61)),"Correo invalido",IF(OR(A61="",B61="",C61="",E61="",G61="",H61="",I61=""),"Campo obligatorio vacio",IF(COUNTIF(ListaNegra!$A:$A,G61)&gt;0,"Uno en lista negra",IF(K61="No","CURP no existe",IF(COUNTIF($G$3:$G$102,G61)&gt;1,"Empleado repetido","OK")))))))</f>
        <v>OK</v>
      </c>
    </row>
    <row r="62" customFormat="false" ht="15" hidden="false" customHeight="false" outlineLevel="0" collapsed="false">
      <c r="A62" s="3" t="n">
        <v>2405</v>
      </c>
      <c r="B62" s="3" t="s">
        <v>317</v>
      </c>
      <c r="C62" s="3" t="s">
        <v>110</v>
      </c>
      <c r="D62" s="3" t="s">
        <v>148</v>
      </c>
      <c r="E62" s="3" t="s">
        <v>241</v>
      </c>
      <c r="F62" s="3" t="s">
        <v>76</v>
      </c>
      <c r="G62" s="3" t="s">
        <v>318</v>
      </c>
      <c r="H62" s="3" t="s">
        <v>319</v>
      </c>
      <c r="I62" s="3" t="s">
        <v>320</v>
      </c>
      <c r="J62" s="3" t="s">
        <v>27</v>
      </c>
      <c r="K62" s="3" t="s">
        <v>136</v>
      </c>
      <c r="L62" s="4" t="str">
        <f aca="false">IF(LEN(G62)&lt;&gt;13,"RFC formato invalido",IF(LEN(H62)&lt;&gt;18,"CURP formato invalido",IF(ISERROR(SEARCH("@",I62)),"Correo invalido",IF(OR(A62="",B62="",C62="",E62="",G62="",H62="",I62=""),"Campo obligatorio vacio",IF(COUNTIF(ListaNegra!$A:$A,G62)&gt;0,"Uno en lista negra",IF(K62="No","CURP no existe",IF(COUNTIF($G$3:$G$102,G62)&gt;1,"Empleado repetido","OK")))))))</f>
        <v>CURP no existe</v>
      </c>
    </row>
    <row r="63" customFormat="false" ht="15" hidden="false" customHeight="false" outlineLevel="0" collapsed="false">
      <c r="A63" s="3" t="n">
        <v>2110</v>
      </c>
      <c r="B63" s="3" t="s">
        <v>321</v>
      </c>
      <c r="C63" s="3" t="s">
        <v>84</v>
      </c>
      <c r="D63" s="3" t="s">
        <v>21</v>
      </c>
      <c r="E63" s="3" t="s">
        <v>173</v>
      </c>
      <c r="F63" s="3"/>
      <c r="G63" s="3" t="s">
        <v>322</v>
      </c>
      <c r="H63" s="3" t="s">
        <v>323</v>
      </c>
      <c r="I63" s="3" t="s">
        <v>324</v>
      </c>
      <c r="J63" s="3" t="s">
        <v>60</v>
      </c>
      <c r="K63" s="3" t="s">
        <v>28</v>
      </c>
      <c r="L63" s="4" t="str">
        <f aca="false">IF(LEN(G63)&lt;&gt;13,"RFC formato invalido",IF(LEN(H63)&lt;&gt;18,"CURP formato invalido",IF(ISERROR(SEARCH("@",I63)),"Correo invalido",IF(OR(A63="",B63="",C63="",E63="",G63="",H63="",I63=""),"Campo obligatorio vacio",IF(COUNTIF(ListaNegra!$A:$A,G63)&gt;0,"Uno en lista negra",IF(K63="No","CURP no existe",IF(COUNTIF($G$3:$G$102,G63)&gt;1,"Empleado repetido","OK")))))))</f>
        <v>OK</v>
      </c>
    </row>
    <row r="64" customFormat="false" ht="15" hidden="false" customHeight="false" outlineLevel="0" collapsed="false">
      <c r="A64" s="3" t="n">
        <v>2110</v>
      </c>
      <c r="B64" s="3" t="s">
        <v>325</v>
      </c>
      <c r="C64" s="3" t="s">
        <v>122</v>
      </c>
      <c r="D64" s="3" t="s">
        <v>83</v>
      </c>
      <c r="E64" s="3" t="s">
        <v>49</v>
      </c>
      <c r="F64" s="3" t="s">
        <v>76</v>
      </c>
      <c r="G64" s="3" t="s">
        <v>326</v>
      </c>
      <c r="H64" s="3" t="s">
        <v>327</v>
      </c>
      <c r="I64" s="3" t="s">
        <v>328</v>
      </c>
      <c r="J64" s="3" t="s">
        <v>60</v>
      </c>
      <c r="K64" s="3" t="s">
        <v>28</v>
      </c>
      <c r="L64" s="4" t="str">
        <f aca="false">IF(LEN(G64)&lt;&gt;13,"RFC formato invalido",IF(LEN(H64)&lt;&gt;18,"CURP formato invalido",IF(ISERROR(SEARCH("@",I64)),"Correo invalido",IF(OR(A64="",B64="",C64="",E64="",G64="",H64="",I64=""),"Campo obligatorio vacio",IF(COUNTIF(ListaNegra!$A:$A,G64)&gt;0,"Uno en lista negra",IF(K64="No","CURP no existe",IF(COUNTIF($G$3:$G$102,G64)&gt;1,"Empleado repetido","OK")))))))</f>
        <v>RFC formato invalido</v>
      </c>
    </row>
    <row r="65" customFormat="false" ht="15" hidden="false" customHeight="false" outlineLevel="0" collapsed="false">
      <c r="A65" s="3" t="n">
        <v>2110</v>
      </c>
      <c r="B65" s="3" t="s">
        <v>329</v>
      </c>
      <c r="C65" s="3" t="s">
        <v>156</v>
      </c>
      <c r="D65" s="3" t="s">
        <v>75</v>
      </c>
      <c r="E65" s="3" t="s">
        <v>123</v>
      </c>
      <c r="F65" s="3" t="s">
        <v>183</v>
      </c>
      <c r="G65" s="3" t="s">
        <v>330</v>
      </c>
      <c r="H65" s="3" t="s">
        <v>331</v>
      </c>
      <c r="I65" s="3" t="s">
        <v>332</v>
      </c>
      <c r="J65" s="3" t="s">
        <v>102</v>
      </c>
      <c r="K65" s="3" t="s">
        <v>28</v>
      </c>
      <c r="L65" s="4" t="str">
        <f aca="false">IF(LEN(G65)&lt;&gt;13,"RFC formato invalido",IF(LEN(H65)&lt;&gt;18,"CURP formato invalido",IF(ISERROR(SEARCH("@",I65)),"Correo invalido",IF(OR(A65="",B65="",C65="",E65="",G65="",H65="",I65=""),"Campo obligatorio vacio",IF(COUNTIF(ListaNegra!$A:$A,G65)&gt;0,"Uno en lista negra",IF(K65="No","CURP no existe",IF(COUNTIF($G$3:$G$102,G65)&gt;1,"Empleado repetido","OK")))))))</f>
        <v>OK</v>
      </c>
    </row>
    <row r="66" customFormat="false" ht="15" hidden="false" customHeight="false" outlineLevel="0" collapsed="false">
      <c r="A66" s="3" t="n">
        <v>2110</v>
      </c>
      <c r="B66" s="3" t="s">
        <v>333</v>
      </c>
      <c r="C66" s="3" t="s">
        <v>149</v>
      </c>
      <c r="D66" s="3" t="s">
        <v>74</v>
      </c>
      <c r="E66" s="3" t="s">
        <v>56</v>
      </c>
      <c r="F66" s="3" t="s">
        <v>48</v>
      </c>
      <c r="G66" s="3" t="s">
        <v>334</v>
      </c>
      <c r="H66" s="3" t="s">
        <v>335</v>
      </c>
      <c r="I66" s="3" t="s">
        <v>336</v>
      </c>
      <c r="J66" s="3" t="s">
        <v>102</v>
      </c>
      <c r="K66" s="3" t="s">
        <v>28</v>
      </c>
      <c r="L66" s="4" t="str">
        <f aca="false">IF(LEN(G66)&lt;&gt;13,"RFC formato invalido",IF(LEN(H66)&lt;&gt;18,"CURP formato invalido",IF(ISERROR(SEARCH("@",I66)),"Correo invalido",IF(OR(A66="",B66="",C66="",E66="",G66="",H66="",I66=""),"Campo obligatorio vacio",IF(COUNTIF(ListaNegra!$A:$A,G66)&gt;0,"Uno en lista negra",IF(K66="No","CURP no existe",IF(COUNTIF($G$3:$G$102,G66)&gt;1,"Empleado repetido","OK")))))))</f>
        <v>Uno en lista negra</v>
      </c>
    </row>
    <row r="67" customFormat="false" ht="15" hidden="false" customHeight="false" outlineLevel="0" collapsed="false">
      <c r="A67" s="3" t="n">
        <v>2405</v>
      </c>
      <c r="B67" s="3" t="s">
        <v>337</v>
      </c>
      <c r="C67" s="3" t="s">
        <v>75</v>
      </c>
      <c r="D67" s="3" t="s">
        <v>91</v>
      </c>
      <c r="E67" s="3" t="s">
        <v>117</v>
      </c>
      <c r="F67" s="3" t="s">
        <v>202</v>
      </c>
      <c r="G67" s="3" t="s">
        <v>338</v>
      </c>
      <c r="H67" s="3" t="s">
        <v>339</v>
      </c>
      <c r="I67" s="3" t="s">
        <v>340</v>
      </c>
      <c r="J67" s="3" t="s">
        <v>36</v>
      </c>
      <c r="K67" s="3" t="s">
        <v>28</v>
      </c>
      <c r="L67" s="4" t="str">
        <f aca="false">IF(LEN(G67)&lt;&gt;13,"RFC formato invalido",IF(LEN(H67)&lt;&gt;18,"CURP formato invalido",IF(ISERROR(SEARCH("@",I67)),"Correo invalido",IF(OR(A67="",B67="",C67="",E67="",G67="",H67="",I67=""),"Campo obligatorio vacio",IF(COUNTIF(ListaNegra!$A:$A,G67)&gt;0,"Uno en lista negra",IF(K67="No","CURP no existe",IF(COUNTIF($G$3:$G$102,G67)&gt;1,"Empleado repetido","OK")))))))</f>
        <v>Uno en lista negra</v>
      </c>
    </row>
    <row r="68" customFormat="false" ht="15" hidden="false" customHeight="false" outlineLevel="0" collapsed="false">
      <c r="A68" s="3" t="n">
        <v>2405</v>
      </c>
      <c r="B68" s="3" t="s">
        <v>341</v>
      </c>
      <c r="C68" s="3" t="s">
        <v>83</v>
      </c>
      <c r="D68" s="3" t="s">
        <v>30</v>
      </c>
      <c r="E68" s="3" t="s">
        <v>92</v>
      </c>
      <c r="F68" s="3" t="s">
        <v>77</v>
      </c>
      <c r="G68" s="3" t="s">
        <v>342</v>
      </c>
      <c r="H68" s="3" t="s">
        <v>343</v>
      </c>
      <c r="I68" s="3" t="s">
        <v>344</v>
      </c>
      <c r="J68" s="3" t="s">
        <v>36</v>
      </c>
      <c r="K68" s="3" t="s">
        <v>28</v>
      </c>
      <c r="L68" s="4" t="str">
        <f aca="false">IF(LEN(G68)&lt;&gt;13,"RFC formato invalido",IF(LEN(H68)&lt;&gt;18,"CURP formato invalido",IF(ISERROR(SEARCH("@",I68)),"Correo invalido",IF(OR(A68="",B68="",C68="",E68="",G68="",H68="",I68=""),"Campo obligatorio vacio",IF(COUNTIF(ListaNegra!$A:$A,G68)&gt;0,"Uno en lista negra",IF(K68="No","CURP no existe",IF(COUNTIF($G$3:$G$102,G68)&gt;1,"Empleado repetido","OK")))))))</f>
        <v>OK</v>
      </c>
    </row>
    <row r="69" customFormat="false" ht="15" hidden="false" customHeight="false" outlineLevel="0" collapsed="false">
      <c r="A69" s="3" t="n">
        <v>3110</v>
      </c>
      <c r="B69" s="3" t="s">
        <v>345</v>
      </c>
      <c r="C69" s="3" t="s">
        <v>142</v>
      </c>
      <c r="D69" s="3" t="s">
        <v>128</v>
      </c>
      <c r="E69" s="3" t="s">
        <v>62</v>
      </c>
      <c r="F69" s="3" t="s">
        <v>183</v>
      </c>
      <c r="G69" s="3" t="s">
        <v>346</v>
      </c>
      <c r="H69" s="3" t="s">
        <v>347</v>
      </c>
      <c r="I69" s="3" t="s">
        <v>348</v>
      </c>
      <c r="J69" s="3" t="s">
        <v>60</v>
      </c>
      <c r="K69" s="3" t="s">
        <v>28</v>
      </c>
      <c r="L69" s="4" t="str">
        <f aca="false">IF(LEN(G69)&lt;&gt;13,"RFC formato invalido",IF(LEN(H69)&lt;&gt;18,"CURP formato invalido",IF(ISERROR(SEARCH("@",I69)),"Correo invalido",IF(OR(A69="",B69="",C69="",E69="",G69="",H69="",I69=""),"Campo obligatorio vacio",IF(COUNTIF(ListaNegra!$A:$A,G69)&gt;0,"Uno en lista negra",IF(K69="No","CURP no existe",IF(COUNTIF($G$3:$G$102,G69)&gt;1,"Empleado repetido","OK")))))))</f>
        <v>Correo invalido</v>
      </c>
    </row>
    <row r="70" customFormat="false" ht="15" hidden="false" customHeight="false" outlineLevel="0" collapsed="false">
      <c r="A70" s="3" t="n">
        <v>3110</v>
      </c>
      <c r="B70" s="3" t="s">
        <v>349</v>
      </c>
      <c r="C70" s="3" t="s">
        <v>55</v>
      </c>
      <c r="D70" s="3" t="s">
        <v>47</v>
      </c>
      <c r="E70" s="3" t="s">
        <v>218</v>
      </c>
      <c r="F70" s="3"/>
      <c r="G70" s="3" t="s">
        <v>350</v>
      </c>
      <c r="H70" s="3" t="s">
        <v>351</v>
      </c>
      <c r="I70" s="3" t="s">
        <v>352</v>
      </c>
      <c r="J70" s="3" t="s">
        <v>60</v>
      </c>
      <c r="K70" s="3" t="s">
        <v>28</v>
      </c>
      <c r="L70" s="4" t="str">
        <f aca="false">IF(LEN(G70)&lt;&gt;13,"RFC formato invalido",IF(LEN(H70)&lt;&gt;18,"CURP formato invalido",IF(ISERROR(SEARCH("@",I70)),"Correo invalido",IF(OR(A70="",B70="",C70="",E70="",G70="",H70="",I70=""),"Campo obligatorio vacio",IF(COUNTIF(ListaNegra!$A:$A,G70)&gt;0,"Uno en lista negra",IF(K70="No","CURP no existe",IF(COUNTIF($G$3:$G$102,G70)&gt;1,"Empleado repetido","OK")))))))</f>
        <v>OK</v>
      </c>
    </row>
    <row r="71" customFormat="false" ht="15" hidden="false" customHeight="false" outlineLevel="0" collapsed="false">
      <c r="A71" s="3" t="n">
        <v>2405</v>
      </c>
      <c r="B71" s="3" t="s">
        <v>353</v>
      </c>
      <c r="C71" s="3" t="s">
        <v>55</v>
      </c>
      <c r="D71" s="3" t="s">
        <v>116</v>
      </c>
      <c r="E71" s="3" t="s">
        <v>203</v>
      </c>
      <c r="F71" s="3" t="s">
        <v>23</v>
      </c>
      <c r="G71" s="3" t="s">
        <v>354</v>
      </c>
      <c r="H71" s="3" t="s">
        <v>355</v>
      </c>
      <c r="I71" s="3" t="s">
        <v>356</v>
      </c>
      <c r="J71" s="3" t="s">
        <v>81</v>
      </c>
      <c r="K71" s="3" t="s">
        <v>28</v>
      </c>
      <c r="L71" s="4" t="str">
        <f aca="false">IF(LEN(G71)&lt;&gt;13,"RFC formato invalido",IF(LEN(H71)&lt;&gt;18,"CURP formato invalido",IF(ISERROR(SEARCH("@",I71)),"Correo invalido",IF(OR(A71="",B71="",C71="",E71="",G71="",H71="",I71=""),"Campo obligatorio vacio",IF(COUNTIF(ListaNegra!$A:$A,G71)&gt;0,"Uno en lista negra",IF(K71="No","CURP no existe",IF(COUNTIF($G$3:$G$102,G71)&gt;1,"Empleado repetido","OK")))))))</f>
        <v>CURP formato invalido</v>
      </c>
    </row>
    <row r="72" customFormat="false" ht="15" hidden="false" customHeight="false" outlineLevel="0" collapsed="false">
      <c r="A72" s="3" t="n">
        <v>2110</v>
      </c>
      <c r="B72" s="3" t="s">
        <v>357</v>
      </c>
      <c r="C72" s="3" t="s">
        <v>91</v>
      </c>
      <c r="D72" s="3" t="s">
        <v>21</v>
      </c>
      <c r="E72" s="3" t="s">
        <v>123</v>
      </c>
      <c r="F72" s="3" t="s">
        <v>49</v>
      </c>
      <c r="G72" s="3" t="s">
        <v>358</v>
      </c>
      <c r="H72" s="3" t="s">
        <v>359</v>
      </c>
      <c r="I72" s="3" t="s">
        <v>360</v>
      </c>
      <c r="J72" s="3" t="s">
        <v>44</v>
      </c>
      <c r="K72" s="3" t="s">
        <v>28</v>
      </c>
      <c r="L72" s="4" t="str">
        <f aca="false">IF(LEN(G72)&lt;&gt;13,"RFC formato invalido",IF(LEN(H72)&lt;&gt;18,"CURP formato invalido",IF(ISERROR(SEARCH("@",I72)),"Correo invalido",IF(OR(A72="",B72="",C72="",E72="",G72="",H72="",I72=""),"Campo obligatorio vacio",IF(COUNTIF(ListaNegra!$A:$A,G72)&gt;0,"Uno en lista negra",IF(K72="No","CURP no existe",IF(COUNTIF($G$3:$G$102,G72)&gt;1,"Empleado repetido","OK")))))))</f>
        <v>OK</v>
      </c>
    </row>
    <row r="73" customFormat="false" ht="15" hidden="false" customHeight="false" outlineLevel="0" collapsed="false">
      <c r="A73" s="3" t="n">
        <v>2405</v>
      </c>
      <c r="B73" s="3" t="s">
        <v>361</v>
      </c>
      <c r="C73" s="3" t="s">
        <v>21</v>
      </c>
      <c r="D73" s="3" t="s">
        <v>22</v>
      </c>
      <c r="E73" s="3" t="s">
        <v>23</v>
      </c>
      <c r="F73" s="3"/>
      <c r="G73" s="3" t="s">
        <v>24</v>
      </c>
      <c r="H73" s="3" t="s">
        <v>25</v>
      </c>
      <c r="I73" s="3" t="s">
        <v>26</v>
      </c>
      <c r="J73" s="3" t="s">
        <v>153</v>
      </c>
      <c r="K73" s="3" t="s">
        <v>28</v>
      </c>
      <c r="L73" s="4" t="str">
        <f aca="false">IF(LEN(G73)&lt;&gt;13,"RFC formato invalido",IF(LEN(H73)&lt;&gt;18,"CURP formato invalido",IF(ISERROR(SEARCH("@",I73)),"Correo invalido",IF(OR(A73="",B73="",C73="",E73="",G73="",H73="",I73=""),"Campo obligatorio vacio",IF(COUNTIF(ListaNegra!$A:$A,G73)&gt;0,"Uno en lista negra",IF(K73="No","CURP no existe",IF(COUNTIF($G$3:$G$102,G73)&gt;1,"Empleado repetido","OK")))))))</f>
        <v>Empleado repetido</v>
      </c>
    </row>
    <row r="74" customFormat="false" ht="15" hidden="false" customHeight="false" outlineLevel="0" collapsed="false">
      <c r="A74" s="3" t="n">
        <v>3110</v>
      </c>
      <c r="B74" s="3" t="s">
        <v>362</v>
      </c>
      <c r="C74" s="3" t="s">
        <v>104</v>
      </c>
      <c r="D74" s="3" t="s">
        <v>47</v>
      </c>
      <c r="E74" s="3" t="s">
        <v>86</v>
      </c>
      <c r="F74" s="3"/>
      <c r="G74" s="3" t="s">
        <v>363</v>
      </c>
      <c r="H74" s="3" t="s">
        <v>364</v>
      </c>
      <c r="I74" s="3" t="s">
        <v>365</v>
      </c>
      <c r="J74" s="3" t="s">
        <v>153</v>
      </c>
      <c r="K74" s="3" t="s">
        <v>28</v>
      </c>
      <c r="L74" s="4" t="str">
        <f aca="false">IF(LEN(G74)&lt;&gt;13,"RFC formato invalido",IF(LEN(H74)&lt;&gt;18,"CURP formato invalido",IF(ISERROR(SEARCH("@",I74)),"Correo invalido",IF(OR(A74="",B74="",C74="",E74="",G74="",H74="",I74=""),"Campo obligatorio vacio",IF(COUNTIF(ListaNegra!$A:$A,G74)&gt;0,"Uno en lista negra",IF(K74="No","CURP no existe",IF(COUNTIF($G$3:$G$102,G74)&gt;1,"Empleado repetido","OK")))))))</f>
        <v>OK</v>
      </c>
    </row>
    <row r="75" customFormat="false" ht="15" hidden="false" customHeight="false" outlineLevel="0" collapsed="false">
      <c r="A75" s="3" t="n">
        <v>2110</v>
      </c>
      <c r="B75" s="3" t="s">
        <v>366</v>
      </c>
      <c r="C75" s="3" t="s">
        <v>83</v>
      </c>
      <c r="D75" s="3" t="s">
        <v>83</v>
      </c>
      <c r="E75" s="3" t="s">
        <v>93</v>
      </c>
      <c r="F75" s="3" t="s">
        <v>202</v>
      </c>
      <c r="G75" s="3" t="s">
        <v>367</v>
      </c>
      <c r="H75" s="3" t="s">
        <v>368</v>
      </c>
      <c r="I75" s="3" t="s">
        <v>369</v>
      </c>
      <c r="J75" s="3" t="s">
        <v>53</v>
      </c>
      <c r="K75" s="3" t="s">
        <v>28</v>
      </c>
      <c r="L75" s="4" t="str">
        <f aca="false">IF(LEN(G75)&lt;&gt;13,"RFC formato invalido",IF(LEN(H75)&lt;&gt;18,"CURP formato invalido",IF(ISERROR(SEARCH("@",I75)),"Correo invalido",IF(OR(A75="",B75="",C75="",E75="",G75="",H75="",I75=""),"Campo obligatorio vacio",IF(COUNTIF(ListaNegra!$A:$A,G75)&gt;0,"Uno en lista negra",IF(K75="No","CURP no existe",IF(COUNTIF($G$3:$G$102,G75)&gt;1,"Empleado repetido","OK")))))))</f>
        <v>OK</v>
      </c>
    </row>
    <row r="76" customFormat="false" ht="15" hidden="false" customHeight="false" outlineLevel="0" collapsed="false">
      <c r="A76" s="3" t="n">
        <v>2110</v>
      </c>
      <c r="B76" s="3" t="s">
        <v>370</v>
      </c>
      <c r="C76" s="3" t="s">
        <v>156</v>
      </c>
      <c r="D76" s="3" t="s">
        <v>22</v>
      </c>
      <c r="E76" s="3" t="s">
        <v>183</v>
      </c>
      <c r="F76" s="3" t="s">
        <v>77</v>
      </c>
      <c r="G76" s="3" t="s">
        <v>371</v>
      </c>
      <c r="H76" s="3" t="s">
        <v>372</v>
      </c>
      <c r="I76" s="3" t="s">
        <v>373</v>
      </c>
      <c r="J76" s="3" t="s">
        <v>60</v>
      </c>
      <c r="K76" s="3" t="s">
        <v>28</v>
      </c>
      <c r="L76" s="4" t="str">
        <f aca="false">IF(LEN(G76)&lt;&gt;13,"RFC formato invalido",IF(LEN(H76)&lt;&gt;18,"CURP formato invalido",IF(ISERROR(SEARCH("@",I76)),"Correo invalido",IF(OR(A76="",B76="",C76="",E76="",G76="",H76="",I76=""),"Campo obligatorio vacio",IF(COUNTIF(ListaNegra!$A:$A,G76)&gt;0,"Uno en lista negra",IF(K76="No","CURP no existe",IF(COUNTIF($G$3:$G$102,G76)&gt;1,"Empleado repetido","OK")))))))</f>
        <v>OK</v>
      </c>
    </row>
    <row r="77" customFormat="false" ht="15" hidden="false" customHeight="false" outlineLevel="0" collapsed="false">
      <c r="A77" s="3" t="n">
        <v>3110</v>
      </c>
      <c r="B77" s="3" t="s">
        <v>374</v>
      </c>
      <c r="C77" s="3" t="s">
        <v>84</v>
      </c>
      <c r="D77" s="3" t="s">
        <v>83</v>
      </c>
      <c r="E77" s="3" t="s">
        <v>23</v>
      </c>
      <c r="F77" s="3" t="s">
        <v>218</v>
      </c>
      <c r="G77" s="3" t="s">
        <v>375</v>
      </c>
      <c r="H77" s="3" t="s">
        <v>376</v>
      </c>
      <c r="I77" s="3" t="s">
        <v>377</v>
      </c>
      <c r="J77" s="3" t="s">
        <v>153</v>
      </c>
      <c r="K77" s="3" t="s">
        <v>28</v>
      </c>
      <c r="L77" s="4" t="str">
        <f aca="false">IF(LEN(G77)&lt;&gt;13,"RFC formato invalido",IF(LEN(H77)&lt;&gt;18,"CURP formato invalido",IF(ISERROR(SEARCH("@",I77)),"Correo invalido",IF(OR(A77="",B77="",C77="",E77="",G77="",H77="",I77=""),"Campo obligatorio vacio",IF(COUNTIF(ListaNegra!$A:$A,G77)&gt;0,"Uno en lista negra",IF(K77="No","CURP no existe",IF(COUNTIF($G$3:$G$102,G77)&gt;1,"Empleado repetido","OK")))))))</f>
        <v>OK</v>
      </c>
    </row>
    <row r="78" customFormat="false" ht="15" hidden="false" customHeight="false" outlineLevel="0" collapsed="false">
      <c r="A78" s="3" t="n">
        <v>2110</v>
      </c>
      <c r="B78" s="3" t="s">
        <v>378</v>
      </c>
      <c r="C78" s="3" t="s">
        <v>162</v>
      </c>
      <c r="D78" s="3" t="s">
        <v>104</v>
      </c>
      <c r="E78" s="3" t="s">
        <v>23</v>
      </c>
      <c r="F78" s="3" t="s">
        <v>49</v>
      </c>
      <c r="G78" s="3" t="s">
        <v>379</v>
      </c>
      <c r="H78" s="3" t="s">
        <v>380</v>
      </c>
      <c r="I78" s="3" t="s">
        <v>381</v>
      </c>
      <c r="J78" s="3" t="s">
        <v>44</v>
      </c>
      <c r="K78" s="3" t="s">
        <v>28</v>
      </c>
      <c r="L78" s="4" t="str">
        <f aca="false">IF(LEN(G78)&lt;&gt;13,"RFC formato invalido",IF(LEN(H78)&lt;&gt;18,"CURP formato invalido",IF(ISERROR(SEARCH("@",I78)),"Correo invalido",IF(OR(A78="",B78="",C78="",E78="",G78="",H78="",I78=""),"Campo obligatorio vacio",IF(COUNTIF(ListaNegra!$A:$A,G78)&gt;0,"Uno en lista negra",IF(K78="No","CURP no existe",IF(COUNTIF($G$3:$G$102,G78)&gt;1,"Empleado repetido","OK")))))))</f>
        <v>OK</v>
      </c>
    </row>
    <row r="79" customFormat="false" ht="15" hidden="false" customHeight="false" outlineLevel="0" collapsed="false">
      <c r="A79" s="3" t="n">
        <v>2110</v>
      </c>
      <c r="B79" s="3" t="s">
        <v>382</v>
      </c>
      <c r="C79" s="3" t="s">
        <v>74</v>
      </c>
      <c r="D79" s="3" t="s">
        <v>98</v>
      </c>
      <c r="E79" s="3" t="s">
        <v>123</v>
      </c>
      <c r="F79" s="3" t="s">
        <v>203</v>
      </c>
      <c r="G79" s="3" t="s">
        <v>383</v>
      </c>
      <c r="H79" s="3" t="s">
        <v>384</v>
      </c>
      <c r="I79" s="3" t="s">
        <v>385</v>
      </c>
      <c r="J79" s="3" t="s">
        <v>81</v>
      </c>
      <c r="K79" s="3" t="s">
        <v>28</v>
      </c>
      <c r="L79" s="4" t="str">
        <f aca="false">IF(LEN(G79)&lt;&gt;13,"RFC formato invalido",IF(LEN(H79)&lt;&gt;18,"CURP formato invalido",IF(ISERROR(SEARCH("@",I79)),"Correo invalido",IF(OR(A79="",B79="",C79="",E79="",G79="",H79="",I79=""),"Campo obligatorio vacio",IF(COUNTIF(ListaNegra!$A:$A,G79)&gt;0,"Uno en lista negra",IF(K79="No","CURP no existe",IF(COUNTIF($G$3:$G$102,G79)&gt;1,"Empleado repetido","OK")))))))</f>
        <v>OK</v>
      </c>
    </row>
    <row r="80" customFormat="false" ht="15" hidden="false" customHeight="false" outlineLevel="0" collapsed="false">
      <c r="A80" s="3" t="n">
        <v>2405</v>
      </c>
      <c r="B80" s="3" t="s">
        <v>386</v>
      </c>
      <c r="C80" s="3" t="s">
        <v>116</v>
      </c>
      <c r="D80" s="3" t="s">
        <v>122</v>
      </c>
      <c r="E80" s="3" t="s">
        <v>49</v>
      </c>
      <c r="F80" s="3" t="s">
        <v>40</v>
      </c>
      <c r="G80" s="3" t="s">
        <v>387</v>
      </c>
      <c r="H80" s="3" t="s">
        <v>388</v>
      </c>
      <c r="I80" s="3" t="s">
        <v>389</v>
      </c>
      <c r="J80" s="3" t="s">
        <v>36</v>
      </c>
      <c r="K80" s="3" t="s">
        <v>28</v>
      </c>
      <c r="L80" s="4" t="str">
        <f aca="false">IF(LEN(G80)&lt;&gt;13,"RFC formato invalido",IF(LEN(H80)&lt;&gt;18,"CURP formato invalido",IF(ISERROR(SEARCH("@",I80)),"Correo invalido",IF(OR(A80="",B80="",C80="",E80="",G80="",H80="",I80=""),"Campo obligatorio vacio",IF(COUNTIF(ListaNegra!$A:$A,G80)&gt;0,"Uno en lista negra",IF(K80="No","CURP no existe",IF(COUNTIF($G$3:$G$102,G80)&gt;1,"Empleado repetido","OK")))))))</f>
        <v>Correo invalido</v>
      </c>
    </row>
    <row r="81" customFormat="false" ht="15" hidden="false" customHeight="false" outlineLevel="0" collapsed="false">
      <c r="A81" s="3" t="n">
        <v>3110</v>
      </c>
      <c r="B81" s="3" t="s">
        <v>390</v>
      </c>
      <c r="C81" s="3" t="s">
        <v>67</v>
      </c>
      <c r="D81" s="3" t="s">
        <v>38</v>
      </c>
      <c r="E81" s="3" t="s">
        <v>241</v>
      </c>
      <c r="F81" s="3" t="s">
        <v>49</v>
      </c>
      <c r="G81" s="3" t="s">
        <v>391</v>
      </c>
      <c r="H81" s="3" t="s">
        <v>392</v>
      </c>
      <c r="I81" s="3" t="s">
        <v>393</v>
      </c>
      <c r="J81" s="3" t="s">
        <v>81</v>
      </c>
      <c r="K81" s="3" t="s">
        <v>28</v>
      </c>
      <c r="L81" s="4" t="str">
        <f aca="false">IF(LEN(G81)&lt;&gt;13,"RFC formato invalido",IF(LEN(H81)&lt;&gt;18,"CURP formato invalido",IF(ISERROR(SEARCH("@",I81)),"Correo invalido",IF(OR(A81="",B81="",C81="",E81="",G81="",H81="",I81=""),"Campo obligatorio vacio",IF(COUNTIF(ListaNegra!$A:$A,G81)&gt;0,"Uno en lista negra",IF(K81="No","CURP no existe",IF(COUNTIF($G$3:$G$102,G81)&gt;1,"Empleado repetido","OK")))))))</f>
        <v>Correo invalido</v>
      </c>
    </row>
    <row r="82" customFormat="false" ht="15" hidden="false" customHeight="false" outlineLevel="0" collapsed="false">
      <c r="A82" s="3" t="n">
        <v>2110</v>
      </c>
      <c r="B82" s="3" t="s">
        <v>394</v>
      </c>
      <c r="C82" s="3" t="s">
        <v>148</v>
      </c>
      <c r="D82" s="3" t="s">
        <v>236</v>
      </c>
      <c r="E82" s="3" t="s">
        <v>218</v>
      </c>
      <c r="F82" s="3" t="s">
        <v>23</v>
      </c>
      <c r="G82" s="3" t="s">
        <v>395</v>
      </c>
      <c r="H82" s="3" t="s">
        <v>396</v>
      </c>
      <c r="I82" s="3" t="s">
        <v>397</v>
      </c>
      <c r="J82" s="3" t="s">
        <v>60</v>
      </c>
      <c r="K82" s="3" t="s">
        <v>28</v>
      </c>
      <c r="L82" s="4" t="str">
        <f aca="false">IF(LEN(G82)&lt;&gt;13,"RFC formato invalido",IF(LEN(H82)&lt;&gt;18,"CURP formato invalido",IF(ISERROR(SEARCH("@",I82)),"Correo invalido",IF(OR(A82="",B82="",C82="",E82="",G82="",H82="",I82=""),"Campo obligatorio vacio",IF(COUNTIF(ListaNegra!$A:$A,G82)&gt;0,"Uno en lista negra",IF(K82="No","CURP no existe",IF(COUNTIF($G$3:$G$102,G82)&gt;1,"Empleado repetido","OK")))))))</f>
        <v>RFC formato invalido</v>
      </c>
    </row>
    <row r="83" customFormat="false" ht="15" hidden="false" customHeight="false" outlineLevel="0" collapsed="false">
      <c r="A83" s="3" t="n">
        <v>2110</v>
      </c>
      <c r="B83" s="3" t="s">
        <v>398</v>
      </c>
      <c r="C83" s="3" t="s">
        <v>156</v>
      </c>
      <c r="D83" s="3" t="s">
        <v>98</v>
      </c>
      <c r="E83" s="3" t="s">
        <v>92</v>
      </c>
      <c r="F83" s="3" t="s">
        <v>86</v>
      </c>
      <c r="G83" s="3" t="s">
        <v>399</v>
      </c>
      <c r="H83" s="3" t="s">
        <v>400</v>
      </c>
      <c r="I83" s="3" t="s">
        <v>401</v>
      </c>
      <c r="J83" s="3" t="s">
        <v>81</v>
      </c>
      <c r="K83" s="3" t="s">
        <v>28</v>
      </c>
      <c r="L83" s="4" t="str">
        <f aca="false">IF(LEN(G83)&lt;&gt;13,"RFC formato invalido",IF(LEN(H83)&lt;&gt;18,"CURP formato invalido",IF(ISERROR(SEARCH("@",I83)),"Correo invalido",IF(OR(A83="",B83="",C83="",E83="",G83="",H83="",I83=""),"Campo obligatorio vacio",IF(COUNTIF(ListaNegra!$A:$A,G83)&gt;0,"Uno en lista negra",IF(K83="No","CURP no existe",IF(COUNTIF($G$3:$G$102,G83)&gt;1,"Empleado repetido","OK")))))))</f>
        <v>OK</v>
      </c>
    </row>
    <row r="84" customFormat="false" ht="15" hidden="false" customHeight="false" outlineLevel="0" collapsed="false">
      <c r="A84" s="3" t="n">
        <v>2405</v>
      </c>
      <c r="B84" s="3" t="s">
        <v>402</v>
      </c>
      <c r="C84" s="3" t="s">
        <v>172</v>
      </c>
      <c r="D84" s="3" t="s">
        <v>156</v>
      </c>
      <c r="E84" s="3" t="s">
        <v>85</v>
      </c>
      <c r="F84" s="3" t="s">
        <v>49</v>
      </c>
      <c r="G84" s="3" t="s">
        <v>403</v>
      </c>
      <c r="H84" s="3" t="s">
        <v>404</v>
      </c>
      <c r="I84" s="3" t="s">
        <v>405</v>
      </c>
      <c r="J84" s="3" t="s">
        <v>81</v>
      </c>
      <c r="K84" s="3" t="s">
        <v>28</v>
      </c>
      <c r="L84" s="4" t="str">
        <f aca="false">IF(LEN(G84)&lt;&gt;13,"RFC formato invalido",IF(LEN(H84)&lt;&gt;18,"CURP formato invalido",IF(ISERROR(SEARCH("@",I84)),"Correo invalido",IF(OR(A84="",B84="",C84="",E84="",G84="",H84="",I84=""),"Campo obligatorio vacio",IF(COUNTIF(ListaNegra!$A:$A,G84)&gt;0,"Uno en lista negra",IF(K84="No","CURP no existe",IF(COUNTIF($G$3:$G$102,G84)&gt;1,"Empleado repetido","OK")))))))</f>
        <v>OK</v>
      </c>
    </row>
    <row r="85" customFormat="false" ht="15" hidden="false" customHeight="false" outlineLevel="0" collapsed="false">
      <c r="A85" s="3" t="n">
        <v>2405</v>
      </c>
      <c r="B85" s="3" t="s">
        <v>406</v>
      </c>
      <c r="C85" s="3" t="s">
        <v>172</v>
      </c>
      <c r="D85" s="3" t="s">
        <v>67</v>
      </c>
      <c r="E85" s="3" t="s">
        <v>77</v>
      </c>
      <c r="F85" s="3" t="s">
        <v>86</v>
      </c>
      <c r="G85" s="3" t="s">
        <v>407</v>
      </c>
      <c r="H85" s="3" t="s">
        <v>408</v>
      </c>
      <c r="I85" s="3" t="s">
        <v>409</v>
      </c>
      <c r="J85" s="3" t="s">
        <v>53</v>
      </c>
      <c r="K85" s="3" t="s">
        <v>136</v>
      </c>
      <c r="L85" s="4" t="str">
        <f aca="false">IF(LEN(G85)&lt;&gt;13,"RFC formato invalido",IF(LEN(H85)&lt;&gt;18,"CURP formato invalido",IF(ISERROR(SEARCH("@",I85)),"Correo invalido",IF(OR(A85="",B85="",C85="",E85="",G85="",H85="",I85=""),"Campo obligatorio vacio",IF(COUNTIF(ListaNegra!$A:$A,G85)&gt;0,"Uno en lista negra",IF(K85="No","CURP no existe",IF(COUNTIF($G$3:$G$102,G85)&gt;1,"Empleado repetido","OK")))))))</f>
        <v>CURP no existe</v>
      </c>
    </row>
    <row r="86" customFormat="false" ht="15" hidden="false" customHeight="false" outlineLevel="0" collapsed="false">
      <c r="A86" s="3" t="n">
        <v>3110</v>
      </c>
      <c r="B86" s="3" t="s">
        <v>410</v>
      </c>
      <c r="C86" s="3" t="s">
        <v>236</v>
      </c>
      <c r="D86" s="3" t="s">
        <v>116</v>
      </c>
      <c r="E86" s="3" t="s">
        <v>138</v>
      </c>
      <c r="F86" s="3" t="s">
        <v>241</v>
      </c>
      <c r="G86" s="3" t="s">
        <v>411</v>
      </c>
      <c r="H86" s="3" t="s">
        <v>412</v>
      </c>
      <c r="I86" s="3" t="s">
        <v>413</v>
      </c>
      <c r="J86" s="3" t="s">
        <v>153</v>
      </c>
      <c r="K86" s="3" t="s">
        <v>28</v>
      </c>
      <c r="L86" s="4" t="str">
        <f aca="false">IF(LEN(G86)&lt;&gt;13,"RFC formato invalido",IF(LEN(H86)&lt;&gt;18,"CURP formato invalido",IF(ISERROR(SEARCH("@",I86)),"Correo invalido",IF(OR(A86="",B86="",C86="",E86="",G86="",H86="",I86=""),"Campo obligatorio vacio",IF(COUNTIF(ListaNegra!$A:$A,G86)&gt;0,"Uno en lista negra",IF(K86="No","CURP no existe",IF(COUNTIF($G$3:$G$102,G86)&gt;1,"Empleado repetido","OK")))))))</f>
        <v>OK</v>
      </c>
    </row>
    <row r="87" customFormat="false" ht="15" hidden="false" customHeight="false" outlineLevel="0" collapsed="false">
      <c r="A87" s="3" t="n">
        <v>3110</v>
      </c>
      <c r="B87" s="3" t="s">
        <v>414</v>
      </c>
      <c r="C87" s="3" t="s">
        <v>162</v>
      </c>
      <c r="D87" s="3" t="s">
        <v>104</v>
      </c>
      <c r="E87" s="3" t="s">
        <v>227</v>
      </c>
      <c r="F87" s="3" t="s">
        <v>143</v>
      </c>
      <c r="G87" s="3" t="s">
        <v>415</v>
      </c>
      <c r="H87" s="3" t="s">
        <v>416</v>
      </c>
      <c r="I87" s="3" t="s">
        <v>417</v>
      </c>
      <c r="J87" s="3" t="s">
        <v>44</v>
      </c>
      <c r="K87" s="3" t="s">
        <v>28</v>
      </c>
      <c r="L87" s="4" t="str">
        <f aca="false">IF(LEN(G87)&lt;&gt;13,"RFC formato invalido",IF(LEN(H87)&lt;&gt;18,"CURP formato invalido",IF(ISERROR(SEARCH("@",I87)),"Correo invalido",IF(OR(A87="",B87="",C87="",E87="",G87="",H87="",I87=""),"Campo obligatorio vacio",IF(COUNTIF(ListaNegra!$A:$A,G87)&gt;0,"Uno en lista negra",IF(K87="No","CURP no existe",IF(COUNTIF($G$3:$G$102,G87)&gt;1,"Empleado repetido","OK")))))))</f>
        <v>OK</v>
      </c>
    </row>
    <row r="88" customFormat="false" ht="15" hidden="false" customHeight="false" outlineLevel="0" collapsed="false">
      <c r="A88" s="3" t="n">
        <v>2110</v>
      </c>
      <c r="B88" s="3" t="s">
        <v>418</v>
      </c>
      <c r="C88" s="3" t="s">
        <v>149</v>
      </c>
      <c r="D88" s="3" t="s">
        <v>148</v>
      </c>
      <c r="E88" s="3" t="s">
        <v>69</v>
      </c>
      <c r="F88" s="3" t="s">
        <v>77</v>
      </c>
      <c r="G88" s="3" t="s">
        <v>419</v>
      </c>
      <c r="H88" s="3" t="s">
        <v>420</v>
      </c>
      <c r="I88" s="3" t="s">
        <v>421</v>
      </c>
      <c r="J88" s="3" t="s">
        <v>53</v>
      </c>
      <c r="K88" s="3" t="s">
        <v>28</v>
      </c>
      <c r="L88" s="4" t="str">
        <f aca="false">IF(LEN(G88)&lt;&gt;13,"RFC formato invalido",IF(LEN(H88)&lt;&gt;18,"CURP formato invalido",IF(ISERROR(SEARCH("@",I88)),"Correo invalido",IF(OR(A88="",B88="",C88="",E88="",G88="",H88="",I88=""),"Campo obligatorio vacio",IF(COUNTIF(ListaNegra!$A:$A,G88)&gt;0,"Uno en lista negra",IF(K88="No","CURP no existe",IF(COUNTIF($G$3:$G$102,G88)&gt;1,"Empleado repetido","OK")))))))</f>
        <v>OK</v>
      </c>
    </row>
    <row r="89" customFormat="false" ht="15" hidden="false" customHeight="false" outlineLevel="0" collapsed="false">
      <c r="A89" s="3" t="n">
        <v>2110</v>
      </c>
      <c r="B89" s="3" t="s">
        <v>422</v>
      </c>
      <c r="C89" s="3" t="s">
        <v>149</v>
      </c>
      <c r="D89" s="3" t="s">
        <v>149</v>
      </c>
      <c r="E89" s="3" t="s">
        <v>86</v>
      </c>
      <c r="F89" s="3" t="s">
        <v>117</v>
      </c>
      <c r="G89" s="3" t="s">
        <v>423</v>
      </c>
      <c r="H89" s="3" t="s">
        <v>424</v>
      </c>
      <c r="I89" s="3" t="s">
        <v>425</v>
      </c>
      <c r="J89" s="3" t="s">
        <v>102</v>
      </c>
      <c r="K89" s="3" t="s">
        <v>28</v>
      </c>
      <c r="L89" s="4" t="str">
        <f aca="false">IF(LEN(G89)&lt;&gt;13,"RFC formato invalido",IF(LEN(H89)&lt;&gt;18,"CURP formato invalido",IF(ISERROR(SEARCH("@",I89)),"Correo invalido",IF(OR(A89="",B89="",C89="",E89="",G89="",H89="",I89=""),"Campo obligatorio vacio",IF(COUNTIF(ListaNegra!$A:$A,G89)&gt;0,"Uno en lista negra",IF(K89="No","CURP no existe",IF(COUNTIF($G$3:$G$102,G89)&gt;1,"Empleado repetido","OK")))))))</f>
        <v>OK</v>
      </c>
    </row>
    <row r="90" customFormat="false" ht="15" hidden="false" customHeight="false" outlineLevel="0" collapsed="false">
      <c r="A90" s="3" t="n">
        <v>2110</v>
      </c>
      <c r="B90" s="3" t="s">
        <v>426</v>
      </c>
      <c r="C90" s="3" t="s">
        <v>68</v>
      </c>
      <c r="D90" s="3" t="s">
        <v>31</v>
      </c>
      <c r="E90" s="3" t="s">
        <v>69</v>
      </c>
      <c r="F90" s="3" t="s">
        <v>77</v>
      </c>
      <c r="G90" s="3" t="s">
        <v>427</v>
      </c>
      <c r="H90" s="3" t="s">
        <v>428</v>
      </c>
      <c r="I90" s="3" t="s">
        <v>429</v>
      </c>
      <c r="J90" s="3" t="s">
        <v>36</v>
      </c>
      <c r="K90" s="3" t="s">
        <v>28</v>
      </c>
      <c r="L90" s="4" t="str">
        <f aca="false">IF(LEN(G90)&lt;&gt;13,"RFC formato invalido",IF(LEN(H90)&lt;&gt;18,"CURP formato invalido",IF(ISERROR(SEARCH("@",I90)),"Correo invalido",IF(OR(A90="",B90="",C90="",E90="",G90="",H90="",I90=""),"Campo obligatorio vacio",IF(COUNTIF(ListaNegra!$A:$A,G90)&gt;0,"Uno en lista negra",IF(K90="No","CURP no existe",IF(COUNTIF($G$3:$G$102,G90)&gt;1,"Empleado repetido","OK")))))))</f>
        <v>OK</v>
      </c>
    </row>
    <row r="91" customFormat="false" ht="15" hidden="false" customHeight="false" outlineLevel="0" collapsed="false">
      <c r="A91" s="3" t="n">
        <v>3110</v>
      </c>
      <c r="B91" s="3" t="s">
        <v>430</v>
      </c>
      <c r="C91" s="3" t="s">
        <v>84</v>
      </c>
      <c r="D91" s="3" t="s">
        <v>149</v>
      </c>
      <c r="E91" s="3" t="s">
        <v>77</v>
      </c>
      <c r="F91" s="3"/>
      <c r="G91" s="3" t="s">
        <v>431</v>
      </c>
      <c r="H91" s="3" t="s">
        <v>432</v>
      </c>
      <c r="I91" s="3" t="s">
        <v>433</v>
      </c>
      <c r="J91" s="3" t="s">
        <v>153</v>
      </c>
      <c r="K91" s="3" t="s">
        <v>28</v>
      </c>
      <c r="L91" s="4" t="str">
        <f aca="false">IF(LEN(G91)&lt;&gt;13,"RFC formato invalido",IF(LEN(H91)&lt;&gt;18,"CURP formato invalido",IF(ISERROR(SEARCH("@",I91)),"Correo invalido",IF(OR(A91="",B91="",C91="",E91="",G91="",H91="",I91=""),"Campo obligatorio vacio",IF(COUNTIF(ListaNegra!$A:$A,G91)&gt;0,"Uno en lista negra",IF(K91="No","CURP no existe",IF(COUNTIF($G$3:$G$102,G91)&gt;1,"Empleado repetido","OK")))))))</f>
        <v>OK</v>
      </c>
    </row>
    <row r="92" customFormat="false" ht="15" hidden="false" customHeight="false" outlineLevel="0" collapsed="false">
      <c r="A92" s="3" t="n">
        <v>2110</v>
      </c>
      <c r="B92" s="3" t="s">
        <v>434</v>
      </c>
      <c r="C92" s="3" t="s">
        <v>148</v>
      </c>
      <c r="D92" s="3" t="s">
        <v>83</v>
      </c>
      <c r="E92" s="3"/>
      <c r="F92" s="3"/>
      <c r="G92" s="3" t="s">
        <v>435</v>
      </c>
      <c r="H92" s="3" t="s">
        <v>436</v>
      </c>
      <c r="I92" s="3" t="s">
        <v>437</v>
      </c>
      <c r="J92" s="3" t="s">
        <v>36</v>
      </c>
      <c r="K92" s="3" t="s">
        <v>28</v>
      </c>
      <c r="L92" s="4" t="str">
        <f aca="false">IF(LEN(G92)&lt;&gt;13,"RFC formato invalido",IF(LEN(H92)&lt;&gt;18,"CURP formato invalido",IF(ISERROR(SEARCH("@",I92)),"Correo invalido",IF(OR(A92="",B92="",C92="",E92="",G92="",H92="",I92=""),"Campo obligatorio vacio",IF(COUNTIF(ListaNegra!$A:$A,G92)&gt;0,"Uno en lista negra",IF(K92="No","CURP no existe",IF(COUNTIF($G$3:$G$102,G92)&gt;1,"Empleado repetido","OK")))))))</f>
        <v>Campo obligatorio vacio</v>
      </c>
    </row>
    <row r="93" customFormat="false" ht="15" hidden="false" customHeight="false" outlineLevel="0" collapsed="false">
      <c r="A93" s="3" t="n">
        <v>2405</v>
      </c>
      <c r="B93" s="3" t="s">
        <v>438</v>
      </c>
      <c r="C93" s="3" t="s">
        <v>30</v>
      </c>
      <c r="D93" s="3" t="s">
        <v>98</v>
      </c>
      <c r="E93" s="3" t="s">
        <v>111</v>
      </c>
      <c r="F93" s="3" t="s">
        <v>167</v>
      </c>
      <c r="G93" s="3" t="s">
        <v>439</v>
      </c>
      <c r="H93" s="3" t="s">
        <v>440</v>
      </c>
      <c r="I93" s="3" t="s">
        <v>441</v>
      </c>
      <c r="J93" s="3" t="s">
        <v>60</v>
      </c>
      <c r="K93" s="3" t="s">
        <v>28</v>
      </c>
      <c r="L93" s="4" t="str">
        <f aca="false">IF(LEN(G93)&lt;&gt;13,"RFC formato invalido",IF(LEN(H93)&lt;&gt;18,"CURP formato invalido",IF(ISERROR(SEARCH("@",I93)),"Correo invalido",IF(OR(A93="",B93="",C93="",E93="",G93="",H93="",I93=""),"Campo obligatorio vacio",IF(COUNTIF(ListaNegra!$A:$A,G93)&gt;0,"Uno en lista negra",IF(K93="No","CURP no existe",IF(COUNTIF($G$3:$G$102,G93)&gt;1,"Empleado repetido","OK")))))))</f>
        <v>OK</v>
      </c>
    </row>
    <row r="94" customFormat="false" ht="15" hidden="false" customHeight="false" outlineLevel="0" collapsed="false">
      <c r="A94" s="3" t="n">
        <v>2405</v>
      </c>
      <c r="B94" s="3" t="s">
        <v>442</v>
      </c>
      <c r="C94" s="3" t="s">
        <v>162</v>
      </c>
      <c r="D94" s="3" t="s">
        <v>91</v>
      </c>
      <c r="E94" s="3" t="s">
        <v>173</v>
      </c>
      <c r="F94" s="3" t="s">
        <v>157</v>
      </c>
      <c r="G94" s="3" t="s">
        <v>443</v>
      </c>
      <c r="H94" s="3" t="s">
        <v>444</v>
      </c>
      <c r="I94" s="3" t="s">
        <v>445</v>
      </c>
      <c r="J94" s="3" t="s">
        <v>153</v>
      </c>
      <c r="K94" s="3" t="s">
        <v>28</v>
      </c>
      <c r="L94" s="4" t="str">
        <f aca="false">IF(LEN(G94)&lt;&gt;13,"RFC formato invalido",IF(LEN(H94)&lt;&gt;18,"CURP formato invalido",IF(ISERROR(SEARCH("@",I94)),"Correo invalido",IF(OR(A94="",B94="",C94="",E94="",G94="",H94="",I94=""),"Campo obligatorio vacio",IF(COUNTIF(ListaNegra!$A:$A,G94)&gt;0,"Uno en lista negra",IF(K94="No","CURP no existe",IF(COUNTIF($G$3:$G$102,G94)&gt;1,"Empleado repetido","OK")))))))</f>
        <v>RFC formato invalido</v>
      </c>
    </row>
    <row r="95" customFormat="false" ht="15" hidden="false" customHeight="false" outlineLevel="0" collapsed="false">
      <c r="A95" s="3" t="n">
        <v>2110</v>
      </c>
      <c r="B95" s="3" t="s">
        <v>446</v>
      </c>
      <c r="C95" s="3"/>
      <c r="D95" s="3" t="s">
        <v>39</v>
      </c>
      <c r="E95" s="3" t="s">
        <v>202</v>
      </c>
      <c r="F95" s="3" t="s">
        <v>76</v>
      </c>
      <c r="G95" s="3" t="s">
        <v>447</v>
      </c>
      <c r="H95" s="3" t="s">
        <v>448</v>
      </c>
      <c r="I95" s="3" t="s">
        <v>449</v>
      </c>
      <c r="J95" s="3" t="s">
        <v>27</v>
      </c>
      <c r="K95" s="3" t="s">
        <v>28</v>
      </c>
      <c r="L95" s="4" t="str">
        <f aca="false">IF(LEN(G95)&lt;&gt;13,"RFC formato invalido",IF(LEN(H95)&lt;&gt;18,"CURP formato invalido",IF(ISERROR(SEARCH("@",I95)),"Correo invalido",IF(OR(A95="",B95="",C95="",E95="",G95="",H95="",I95=""),"Campo obligatorio vacio",IF(COUNTIF(ListaNegra!$A:$A,G95)&gt;0,"Uno en lista negra",IF(K95="No","CURP no existe",IF(COUNTIF($G$3:$G$102,G95)&gt;1,"Empleado repetido","OK")))))))</f>
        <v>Campo obligatorio vacio</v>
      </c>
    </row>
    <row r="96" customFormat="false" ht="15" hidden="false" customHeight="false" outlineLevel="0" collapsed="false">
      <c r="A96" s="3" t="n">
        <v>3110</v>
      </c>
      <c r="B96" s="3" t="s">
        <v>450</v>
      </c>
      <c r="C96" s="3" t="s">
        <v>38</v>
      </c>
      <c r="D96" s="3" t="s">
        <v>46</v>
      </c>
      <c r="E96" s="3" t="s">
        <v>157</v>
      </c>
      <c r="F96" s="3" t="s">
        <v>105</v>
      </c>
      <c r="G96" s="3" t="s">
        <v>451</v>
      </c>
      <c r="H96" s="3" t="s">
        <v>452</v>
      </c>
      <c r="I96" s="3" t="s">
        <v>453</v>
      </c>
      <c r="J96" s="3" t="s">
        <v>53</v>
      </c>
      <c r="K96" s="3" t="s">
        <v>28</v>
      </c>
      <c r="L96" s="4" t="str">
        <f aca="false">IF(LEN(G96)&lt;&gt;13,"RFC formato invalido",IF(LEN(H96)&lt;&gt;18,"CURP formato invalido",IF(ISERROR(SEARCH("@",I96)),"Correo invalido",IF(OR(A96="",B96="",C96="",E96="",G96="",H96="",I96=""),"Campo obligatorio vacio",IF(COUNTIF(ListaNegra!$A:$A,G96)&gt;0,"Uno en lista negra",IF(K96="No","CURP no existe",IF(COUNTIF($G$3:$G$102,G96)&gt;1,"Empleado repetido","OK")))))))</f>
        <v>Correo invalido</v>
      </c>
    </row>
    <row r="97" customFormat="false" ht="15" hidden="false" customHeight="false" outlineLevel="0" collapsed="false">
      <c r="A97" s="3" t="n">
        <v>2110</v>
      </c>
      <c r="B97" s="3" t="s">
        <v>454</v>
      </c>
      <c r="C97" s="3" t="s">
        <v>128</v>
      </c>
      <c r="D97" s="3" t="s">
        <v>55</v>
      </c>
      <c r="E97" s="3" t="s">
        <v>62</v>
      </c>
      <c r="F97" s="3" t="s">
        <v>117</v>
      </c>
      <c r="G97" s="3" t="s">
        <v>455</v>
      </c>
      <c r="H97" s="3" t="s">
        <v>456</v>
      </c>
      <c r="I97" s="3" t="s">
        <v>457</v>
      </c>
      <c r="J97" s="3" t="s">
        <v>53</v>
      </c>
      <c r="K97" s="3" t="s">
        <v>28</v>
      </c>
      <c r="L97" s="4" t="str">
        <f aca="false">IF(LEN(G97)&lt;&gt;13,"RFC formato invalido",IF(LEN(H97)&lt;&gt;18,"CURP formato invalido",IF(ISERROR(SEARCH("@",I97)),"Correo invalido",IF(OR(A97="",B97="",C97="",E97="",G97="",H97="",I97=""),"Campo obligatorio vacio",IF(COUNTIF(ListaNegra!$A:$A,G97)&gt;0,"Uno en lista negra",IF(K97="No","CURP no existe",IF(COUNTIF($G$3:$G$102,G97)&gt;1,"Empleado repetido","OK")))))))</f>
        <v>OK</v>
      </c>
    </row>
    <row r="98" customFormat="false" ht="15" hidden="false" customHeight="false" outlineLevel="0" collapsed="false">
      <c r="A98" s="3" t="n">
        <v>2110</v>
      </c>
      <c r="B98" s="3" t="s">
        <v>458</v>
      </c>
      <c r="C98" s="3" t="s">
        <v>149</v>
      </c>
      <c r="D98" s="3" t="s">
        <v>149</v>
      </c>
      <c r="E98" s="3" t="s">
        <v>69</v>
      </c>
      <c r="F98" s="3" t="s">
        <v>111</v>
      </c>
      <c r="G98" s="3" t="s">
        <v>459</v>
      </c>
      <c r="H98" s="3" t="s">
        <v>460</v>
      </c>
      <c r="I98" s="3" t="s">
        <v>421</v>
      </c>
      <c r="J98" s="3" t="s">
        <v>27</v>
      </c>
      <c r="K98" s="3" t="s">
        <v>28</v>
      </c>
      <c r="L98" s="4" t="str">
        <f aca="false">IF(LEN(G98)&lt;&gt;13,"RFC formato invalido",IF(LEN(H98)&lt;&gt;18,"CURP formato invalido",IF(ISERROR(SEARCH("@",I98)),"Correo invalido",IF(OR(A98="",B98="",C98="",E98="",G98="",H98="",I98=""),"Campo obligatorio vacio",IF(COUNTIF(ListaNegra!$A:$A,G98)&gt;0,"Uno en lista negra",IF(K98="No","CURP no existe",IF(COUNTIF($G$3:$G$102,G98)&gt;1,"Empleado repetido","OK")))))))</f>
        <v>OK</v>
      </c>
    </row>
    <row r="99" customFormat="false" ht="15" hidden="false" customHeight="false" outlineLevel="0" collapsed="false">
      <c r="A99" s="3" t="n">
        <v>2110</v>
      </c>
      <c r="B99" s="3" t="s">
        <v>461</v>
      </c>
      <c r="C99" s="3" t="s">
        <v>149</v>
      </c>
      <c r="D99" s="3" t="s">
        <v>236</v>
      </c>
      <c r="E99" s="3" t="s">
        <v>49</v>
      </c>
      <c r="F99" s="3" t="s">
        <v>40</v>
      </c>
      <c r="G99" s="3" t="s">
        <v>462</v>
      </c>
      <c r="H99" s="3" t="s">
        <v>463</v>
      </c>
      <c r="I99" s="3" t="s">
        <v>464</v>
      </c>
      <c r="J99" s="3" t="s">
        <v>153</v>
      </c>
      <c r="K99" s="3" t="s">
        <v>28</v>
      </c>
      <c r="L99" s="4" t="str">
        <f aca="false">IF(LEN(G99)&lt;&gt;13,"RFC formato invalido",IF(LEN(H99)&lt;&gt;18,"CURP formato invalido",IF(ISERROR(SEARCH("@",I99)),"Correo invalido",IF(OR(A99="",B99="",C99="",E99="",G99="",H99="",I99=""),"Campo obligatorio vacio",IF(COUNTIF(ListaNegra!$A:$A,G99)&gt;0,"Uno en lista negra",IF(K99="No","CURP no existe",IF(COUNTIF($G$3:$G$102,G99)&gt;1,"Empleado repetido","OK")))))))</f>
        <v>OK</v>
      </c>
    </row>
    <row r="100" customFormat="false" ht="15" hidden="false" customHeight="false" outlineLevel="0" collapsed="false">
      <c r="A100" s="3" t="n">
        <v>2405</v>
      </c>
      <c r="B100" s="3" t="s">
        <v>465</v>
      </c>
      <c r="C100" s="3" t="s">
        <v>84</v>
      </c>
      <c r="D100" s="3" t="s">
        <v>47</v>
      </c>
      <c r="E100" s="3" t="s">
        <v>143</v>
      </c>
      <c r="F100" s="3" t="s">
        <v>76</v>
      </c>
      <c r="G100" s="3" t="s">
        <v>466</v>
      </c>
      <c r="H100" s="3" t="s">
        <v>467</v>
      </c>
      <c r="I100" s="3" t="s">
        <v>468</v>
      </c>
      <c r="J100" s="3" t="s">
        <v>102</v>
      </c>
      <c r="K100" s="3" t="s">
        <v>28</v>
      </c>
      <c r="L100" s="4" t="str">
        <f aca="false">IF(LEN(G100)&lt;&gt;13,"RFC formato invalido",IF(LEN(H100)&lt;&gt;18,"CURP formato invalido",IF(ISERROR(SEARCH("@",I100)),"Correo invalido",IF(OR(A100="",B100="",C100="",E100="",G100="",H100="",I100=""),"Campo obligatorio vacio",IF(COUNTIF(ListaNegra!$A:$A,G100)&gt;0,"Uno en lista negra",IF(K100="No","CURP no existe",IF(COUNTIF($G$3:$G$102,G100)&gt;1,"Empleado repetido","OK")))))))</f>
        <v>OK</v>
      </c>
    </row>
    <row r="101" customFormat="false" ht="15" hidden="false" customHeight="false" outlineLevel="0" collapsed="false">
      <c r="A101" s="3" t="n">
        <v>2110</v>
      </c>
      <c r="B101" s="3" t="s">
        <v>469</v>
      </c>
      <c r="C101" s="3" t="s">
        <v>128</v>
      </c>
      <c r="D101" s="3" t="s">
        <v>22</v>
      </c>
      <c r="E101" s="3" t="s">
        <v>173</v>
      </c>
      <c r="F101" s="3" t="s">
        <v>227</v>
      </c>
      <c r="G101" s="3" t="s">
        <v>470</v>
      </c>
      <c r="H101" s="3" t="s">
        <v>471</v>
      </c>
      <c r="I101" s="3" t="s">
        <v>176</v>
      </c>
      <c r="J101" s="3" t="s">
        <v>153</v>
      </c>
      <c r="K101" s="3" t="s">
        <v>28</v>
      </c>
      <c r="L101" s="4" t="str">
        <f aca="false">IF(LEN(G101)&lt;&gt;13,"RFC formato invalido",IF(LEN(H101)&lt;&gt;18,"CURP formato invalido",IF(ISERROR(SEARCH("@",I101)),"Correo invalido",IF(OR(A101="",B101="",C101="",E101="",G101="",H101="",I101=""),"Campo obligatorio vacio",IF(COUNTIF(ListaNegra!$A:$A,G101)&gt;0,"Uno en lista negra",IF(K101="No","CURP no existe",IF(COUNTIF($G$3:$G$102,G101)&gt;1,"Empleado repetido","OK")))))))</f>
        <v>OK</v>
      </c>
    </row>
    <row r="102" customFormat="false" ht="15" hidden="false" customHeight="false" outlineLevel="0" collapsed="false">
      <c r="A102" s="3" t="n">
        <v>2110</v>
      </c>
      <c r="B102" s="3" t="s">
        <v>472</v>
      </c>
      <c r="C102" s="3" t="s">
        <v>22</v>
      </c>
      <c r="D102" s="3" t="s">
        <v>22</v>
      </c>
      <c r="E102" s="3" t="s">
        <v>167</v>
      </c>
      <c r="F102" s="3" t="s">
        <v>203</v>
      </c>
      <c r="G102" s="3" t="s">
        <v>334</v>
      </c>
      <c r="H102" s="3" t="s">
        <v>473</v>
      </c>
      <c r="I102" s="3" t="s">
        <v>474</v>
      </c>
      <c r="J102" s="3" t="s">
        <v>81</v>
      </c>
      <c r="K102" s="3" t="s">
        <v>28</v>
      </c>
      <c r="L102" s="4" t="str">
        <f aca="false">IF(LEN(G102)&lt;&gt;13,"RFC formato invalido",IF(LEN(H102)&lt;&gt;18,"CURP formato invalido",IF(ISERROR(SEARCH("@",I102)),"Correo invalido",IF(OR(A102="",B102="",C102="",E102="",G102="",H102="",I102=""),"Campo obligatorio vacio",IF(COUNTIF(ListaNegra!$A:$A,G102)&gt;0,"Uno en lista negra",IF(K102="No","CURP no existe",IF(COUNTIF($G$3:$G$102,G102)&gt;1,"Empleado repetido","OK")))))))</f>
        <v>Uno en lista negra</v>
      </c>
    </row>
    <row r="105" customFormat="false" ht="15" hidden="false" customHeight="false" outlineLevel="0" collapsed="false">
      <c r="A105" s="5" t="s">
        <v>475</v>
      </c>
      <c r="C105" s="5" t="s">
        <v>476</v>
      </c>
    </row>
    <row r="106" customFormat="false" ht="15" hidden="false" customHeight="false" outlineLevel="0" collapsed="false">
      <c r="A106" s="6" t="s">
        <v>477</v>
      </c>
      <c r="C106" s="7" t="n">
        <f aca="false">COUNTIF(L3:L102,"RFC formato invalido")</f>
        <v>5</v>
      </c>
    </row>
    <row r="107" customFormat="false" ht="15" hidden="false" customHeight="false" outlineLevel="0" collapsed="false">
      <c r="A107" s="6" t="s">
        <v>478</v>
      </c>
      <c r="C107" s="7" t="n">
        <f aca="false">COUNTIF(L3:L102,"CURP formato invalido")</f>
        <v>5</v>
      </c>
    </row>
    <row r="108" customFormat="false" ht="15" hidden="false" customHeight="false" outlineLevel="0" collapsed="false">
      <c r="A108" s="6" t="s">
        <v>479</v>
      </c>
      <c r="C108" s="7" t="n">
        <f aca="false">COUNTIF(L3:L102,"Correo invalido")</f>
        <v>5</v>
      </c>
    </row>
    <row r="109" customFormat="false" ht="15" hidden="false" customHeight="false" outlineLevel="0" collapsed="false">
      <c r="A109" s="6" t="s">
        <v>480</v>
      </c>
      <c r="C109" s="7" t="n">
        <f aca="false">COUNTIF(L3:L102,"Campo obligatorio vacio")</f>
        <v>5</v>
      </c>
    </row>
    <row r="110" customFormat="false" ht="15" hidden="false" customHeight="false" outlineLevel="0" collapsed="false">
      <c r="A110" s="6" t="s">
        <v>481</v>
      </c>
      <c r="C110" s="7" t="n">
        <f aca="false">COUNTIF(L3:L102,"Uno en lista negra")</f>
        <v>4</v>
      </c>
    </row>
    <row r="111" customFormat="false" ht="15" hidden="false" customHeight="false" outlineLevel="0" collapsed="false">
      <c r="A111" s="6" t="s">
        <v>482</v>
      </c>
      <c r="C111" s="7" t="n">
        <f aca="false">COUNTIF(L3:L102,"CURP no existe")</f>
        <v>3</v>
      </c>
    </row>
    <row r="112" customFormat="false" ht="15" hidden="false" customHeight="false" outlineLevel="0" collapsed="false">
      <c r="A112" s="6" t="s">
        <v>483</v>
      </c>
      <c r="C112" s="7" t="n">
        <f aca="false">COUNTIF(L3:L102,"Empleado repetido")</f>
        <v>6</v>
      </c>
    </row>
    <row r="114" customFormat="false" ht="15" hidden="false" customHeight="false" outlineLevel="0" collapsed="false">
      <c r="A114" s="5" t="s">
        <v>484</v>
      </c>
      <c r="C114" s="5" t="n">
        <f aca="false">COUNTIF(L3:L102,"OK")</f>
        <v>67</v>
      </c>
    </row>
    <row r="115" customFormat="false" ht="15" hidden="false" customHeight="false" outlineLevel="0" collapsed="false">
      <c r="A115" s="5" t="s">
        <v>485</v>
      </c>
      <c r="C115" s="5" t="n">
        <f aca="false">COUNTA(A3:A102)</f>
        <v>100</v>
      </c>
    </row>
  </sheetData>
  <conditionalFormatting sqref="L3:L132">
    <cfRule type="expression" priority="2" aboveAverage="0" equalAverage="0" bottom="0" percent="0" rank="0" text="" dxfId="0">
      <formula>L3&lt;&gt;"OK"</formula>
    </cfRule>
    <cfRule type="expression" priority="3" aboveAverage="0" equalAverage="0" bottom="0" percent="0" rank="0" text="" dxfId="1">
      <formula>L3="OK"</formula>
    </cfRule>
  </conditionalFormatting>
  <dataValidations count="7">
    <dataValidation allowBlank="false" error="Convenio debe ser numerico y mayor a 0." errorStyle="stop" errorTitle="Convenio invalido" operator="greaterThan" showDropDown="false" showErrorMessage="true" showInputMessage="false" sqref="A3:A132" type="whole">
      <formula1>0</formula1>
      <formula2>0</formula2>
    </dataValidation>
    <dataValidation allowBlank="false" error="Debe tener entre 2 y 40 caracteres." errorStyle="stop" errorTitle="Longitud invalida" operator="between" showDropDown="false" showErrorMessage="true" showInputMessage="false" sqref="C3:F132" type="textLength">
      <formula1>2</formula1>
      <formula2>40</formula2>
    </dataValidation>
    <dataValidation allowBlank="false" error="El RFC debe tener exactamente 13 posiciones." errorStyle="stop" errorTitle="RFC invalido" operator="equal" showDropDown="false" showErrorMessage="true" showInputMessage="false" sqref="G3:G132" type="textLength">
      <formula1>13</formula1>
      <formula2>0</formula2>
    </dataValidation>
    <dataValidation allowBlank="false" error="El CURP debe tener exactamente 18 posiciones." errorStyle="stop" errorTitle="CURP invalido" operator="equal" showDropDown="false" showErrorMessage="true" showInputMessage="false" sqref="H3:H132" type="textLength">
      <formula1>18</formula1>
      <formula2>0</formula2>
    </dataValidation>
    <dataValidation allowBlank="false" error="Debe ser un correo valido (contener @) y maximo 40 caracteres." errorStyle="stop" errorTitle="Correo invalido" operator="between" showDropDown="false" showErrorMessage="true" showInputMessage="false" sqref="I3:I132" type="custom">
      <formula1>AND(ISNUMBER(SEARCH("@",I3)),LEN(I3)&lt;=40)</formula1>
      <formula2>0</formula2>
    </dataValidation>
    <dataValidation allowBlank="false" error="Maximo 40 caracteres." errorStyle="stop" errorTitle="Rango salarial invalido" operator="lessThanOrEqual" showDropDown="false" showErrorMessage="true" showInputMessage="false" sqref="J3:J132" type="textLength">
      <formula1>40</formula1>
      <formula2>0</formula2>
    </dataValidation>
    <dataValidation allowBlank="false" error="Seleccione Si o No." errorStyle="stop" errorTitle="Valor invalido" operator="between" showDropDown="false" showErrorMessage="true" showInputMessage="false" sqref="K3:K132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486</v>
      </c>
    </row>
    <row r="2" customFormat="false" ht="15" hidden="false" customHeight="false" outlineLevel="0" collapsed="false">
      <c r="A2" s="0" t="s">
        <v>334</v>
      </c>
    </row>
    <row r="3" customFormat="false" ht="15" hidden="false" customHeight="false" outlineLevel="0" collapsed="false">
      <c r="A3" s="0" t="s">
        <v>487</v>
      </c>
    </row>
    <row r="4" customFormat="false" ht="15" hidden="false" customHeight="false" outlineLevel="0" collapsed="false">
      <c r="A4" s="0" t="s">
        <v>488</v>
      </c>
    </row>
    <row r="5" customFormat="false" ht="15" hidden="false" customHeight="false" outlineLevel="0" collapsed="false">
      <c r="A5" s="0" t="s">
        <v>338</v>
      </c>
    </row>
    <row r="6" customFormat="false" ht="15" hidden="false" customHeight="false" outlineLevel="0" collapsed="false">
      <c r="A6" s="0" t="s">
        <v>489</v>
      </c>
    </row>
    <row r="7" customFormat="false" ht="15" hidden="false" customHeight="false" outlineLevel="0" collapsed="false">
      <c r="A7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2026-07-01T21:21:49Z</dcterms:created>
  <dc:creator>openpyxl</dc:creator>
  <dc:description/>
  <dc:language>en-US</dc:language>
  <cp:lastModifiedBy/>
  <dcterms:modified xsi:type="dcterms:W3CDTF">2026-07-01T21:21:49Z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